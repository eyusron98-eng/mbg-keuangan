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njuk" sheetId="1" r:id="rId5"/>
    <sheet state="visible" name="Identitas" sheetId="2" r:id="rId6"/>
    <sheet state="visible" name="A_PM" sheetId="3" r:id="rId7"/>
    <sheet state="visible" name="B_BahanBaku" sheetId="4" r:id="rId8"/>
    <sheet state="visible" name="C_Operasional" sheetId="5" r:id="rId9"/>
    <sheet state="visible" name="C1_Relawan" sheetId="6" r:id="rId10"/>
    <sheet state="visible" name="D_Insentif" sheetId="7" r:id="rId11"/>
    <sheet state="visible" name="E_Saldo" sheetId="8" r:id="rId12"/>
    <sheet state="visible" name="F_TopUp" sheetId="9" r:id="rId13"/>
    <sheet state="visible" name="G_CekPPK" sheetId="10" r:id="rId14"/>
    <sheet state="visible" name="H_RekapPPK" sheetId="11" r:id="rId15"/>
    <sheet state="visible" name="I_RegisterBukti" sheetId="12" r:id="rId16"/>
    <sheet state="visible" name="J_Pengesahan" sheetId="13" r:id="rId17"/>
    <sheet state="visible" name="Ref" sheetId="14" r:id="rId18"/>
  </sheets>
  <definedNames/>
  <calcPr/>
</workbook>
</file>

<file path=xl/sharedStrings.xml><?xml version="1.0" encoding="utf-8"?>
<sst xmlns="http://schemas.openxmlformats.org/spreadsheetml/2006/main" count="1188" uniqueCount="791">
  <si>
    <t>LAPORAN PENGGUNAAN DANA HARIAN (LPDH): IDENTITAS</t>
  </si>
  <si>
    <t>KONSEP FORMAT EXCEL LAPORAN PENGGUNAAN DANA HARIAN (LPDH) SPPG</t>
  </si>
  <si>
    <t>Program Makan Bergizi Gratis TA 2026 | Isi sel kuning</t>
  </si>
  <si>
    <t>Lampiran pendukung Konsep SE Pelaksanaan HPE dan Pemberian Insentif Ketersediaan dan Mutu Layanan SPPG | Versi 4, memuat koreksi Tim PPK dan lembar pengesahan</t>
  </si>
  <si>
    <t>KETERANGAN WARNA</t>
  </si>
  <si>
    <t>Uraian</t>
  </si>
  <si>
    <t>Sel kuning, huruf biru</t>
  </si>
  <si>
    <t>Isian</t>
  </si>
  <si>
    <t>Nomor LPDH</t>
  </si>
  <si>
    <t>Diisi oleh SPPG (Pengawas Keuangan bersama Kepala SPPG).</t>
  </si>
  <si>
    <t>001/LPDH/SPPG-X/X/2026</t>
  </si>
  <si>
    <t>Sel biru muda, huruf biru</t>
  </si>
  <si>
    <t>ID SPPG</t>
  </si>
  <si>
    <t>18.71.XX.XXXX</t>
  </si>
  <si>
    <t>Nama SPPG</t>
  </si>
  <si>
    <t>SPPG Contoh 1</t>
  </si>
  <si>
    <t>Diisi oleh Tim PPK (persetujuan top up, parameter, indeks kemahalan).</t>
  </si>
  <si>
    <t>Desa/Kelurahan</t>
  </si>
  <si>
    <t>Contoh</t>
  </si>
  <si>
    <t>Sel putih, huruf hitam</t>
  </si>
  <si>
    <t>Kecamatan</t>
  </si>
  <si>
    <t>Rumus otomatis; jangan diubah.</t>
  </si>
  <si>
    <t>Kabupaten/Kota</t>
  </si>
  <si>
    <t>Kota Contoh</t>
  </si>
  <si>
    <t>Provinsi</t>
  </si>
  <si>
    <t>Hijau / jingga</t>
  </si>
  <si>
    <t>Lampung</t>
  </si>
  <si>
    <t>Nama Mitra/Yayasan</t>
  </si>
  <si>
    <t>Yayasan Contoh</t>
  </si>
  <si>
    <t>Nomor VA</t>
  </si>
  <si>
    <t>XXXXXXXXXXXX</t>
  </si>
  <si>
    <t>OK atau Unik/Sesuai/Lengkap = sesuai; jingga = PERIKSA, DUPLIKAT, DI LUAR PERIODE, BELUM LENGKAP, atau BELUM ADA LINK.</t>
  </si>
  <si>
    <t>Bank Himbara</t>
  </si>
  <si>
    <t>Bank Contoh</t>
  </si>
  <si>
    <t>Tanggal Pelayanan</t>
  </si>
  <si>
    <t>URUTAN PENGISIAN</t>
  </si>
  <si>
    <t>1. Identitas</t>
  </si>
  <si>
    <t>Identitas SPPG, tanggal, status hari, HPE ke-, waktu unggah, serta penanda tangan: Pengawas Keuangan (nama dan NIK), Kepala SPPG (nama dan NIP), dan Perwakilan Mitra/Yayasan yang menyetujui (nama dan NIK). Indeks kemahalan dan periode transaksi terisi otomatis.</t>
  </si>
  <si>
    <t>2. A_PM</t>
  </si>
  <si>
    <t>Per kelompok sasaran: target SPS, distribusi (POP), penerimaan PIC PM dan tidak diterima (Fleet), BNBA, nomor BAST, dan link bukti autentik BAST di Cloud SIPGN. Lalu rekonsiliasi POP dan Fleet.</t>
  </si>
  <si>
    <t>3. B_BahanBaku</t>
  </si>
  <si>
    <t>Satu baris per transaksi: tanggal, nomor bukti unik, link bukti autentik.</t>
  </si>
  <si>
    <t>4. C1_Relawan</t>
  </si>
  <si>
    <t>Daftar nominatif pembayaran insentif relawan: nama, nominal, nomor bukti pembayaran, link bukti bayar.</t>
  </si>
  <si>
    <t>5. C_Operasional</t>
  </si>
  <si>
    <t>Biaya operasional lainnya: tanggal, nomor bukti unik, link bukti. Baris insentif relawan terisi otomatis dari C1_Relawan.</t>
  </si>
  <si>
    <t>6. D_Insentif</t>
  </si>
  <si>
    <t>Syarat Insentif dan pembayaran harian ke Mitra/Yayasan: nominal, tanggal, nomor bukti pembayaran, kuitansi bertanda tangan Mitra, link PDF bukti bayar.</t>
  </si>
  <si>
    <t>7. E_Saldo</t>
  </si>
  <si>
    <t>Saldo awal, rincian penerimaan top up (tanggal, nilai per komponen, nomor kuitansi/bukti terima, link), dan saldo VA.</t>
  </si>
  <si>
    <t>8. F_TopUp</t>
  </si>
  <si>
    <t>Usulan SPPG otomatis; persetujuan diisi Tim PPK.</t>
  </si>
  <si>
    <t>9. G_CekPPK</t>
  </si>
  <si>
    <t>Seluruh butir harus OK sebelum diunggah; dipakai Tim PPK untuk verifikasi.</t>
  </si>
  <si>
    <t>10. H_RekapPPK dan I_RegisterBukti</t>
  </si>
  <si>
    <t>Satu baris ringkasan dan register nomor bukti untuk konsolidasi serta uji duplikasi lintas hari/lintas SPPG.</t>
  </si>
  <si>
    <t>11. J_Pengesahan</t>
  </si>
  <si>
    <t>Lembar yang dicetak dan ditandatangani tiga pihak (Disusun oleh, Mengetahui, Menyetujui), dicap SPPG dan Yayasan, lalu dipindai menjadi PDF. Nama dan NIK/NIP terisi otomatis dari Identitas.</t>
  </si>
  <si>
    <t>KETENTUAN BUKTI TRANSAKSI</t>
  </si>
  <si>
    <t>Bukti autentik</t>
  </si>
  <si>
    <t>Setiap transaksi bernilai wajib memiliki link https:// ke berkas yang diunggah di Cloud SIPGN (PDF/foto kuitansi, nota, bukti transfer, BAST).</t>
  </si>
  <si>
    <t>Nomor bukti unik</t>
  </si>
  <si>
    <t>Nomor bukti tidak boleh sama dengan transaksi lain. Satu nota berisi beberapa item ditulis dengan sufiks (NT-004/1, NT-004/2). Kode unik transaksi dibentuk otomatis: ID SPPG-tanggal-jenis-urutan.</t>
  </si>
  <si>
    <t>Tanggal transaksi</t>
  </si>
  <si>
    <t>Harus berada dalam periode transaksi (Identitas!B32:B33): tanggal pelayanan dikurangi toleransi pada Ref sampai tanggal pelayanan.</t>
  </si>
  <si>
    <t>Indeks kemahalan</t>
  </si>
  <si>
    <t>Pagu bahan baku dan operasional disesuaikan dengan indeks kemahalan Kab/Kota (lembar Ref, diisi PPK). Tarif Insentif Rp2.000 tidak disesuaikan.</t>
  </si>
  <si>
    <t>KETENTUAN PENYAMPAIAN</t>
  </si>
  <si>
    <t>Tanda tangan</t>
  </si>
  <si>
    <t>Pengawas Keuangan (NIK 16 digit) menyusun, Kepala SPPG (NIP 18 digit) mengetahui, Perwakilan Mitra/Yayasan (NIK 16 digit) menyetujui. Tanda tangan basah dibubuhkan pada lembar J_Pengesahan.</t>
  </si>
  <si>
    <t>B. RINCIAN BELANJA BAHAN BAKU PANGAN (AT COST)</t>
  </si>
  <si>
    <t>Bentuk berkas</t>
  </si>
  <si>
    <t>Hari</t>
  </si>
  <si>
    <t>PDF hasil pindai lembar J_Pengesahan dan lembar laporan yang ditandatangani dan dicap, serta berkas Excel ini tanpa mengubah susunan kolom, baris, dan rumus.</t>
  </si>
  <si>
    <t>Nama berkas</t>
  </si>
  <si>
    <t>[ID SPPG]_[Nama SPPG]_LPDH_[TTTTBBHH]: lihat Identitas!B29.</t>
  </si>
  <si>
    <t>Batas waktu</t>
  </si>
  <si>
    <t>Diunggah melalui SIPGN paling lambat H+1 pukul 06.00 waktu setempat.</t>
  </si>
  <si>
    <t>CATATAN</t>
  </si>
  <si>
    <t>Setiap baris = satu transaksi dengan nomor bukti unik dan link bukti autentik. Bila satu nota memuat beberapa item, gunakan nomor nota + urutan item (contoh NT-004/1, NT-004/2).</t>
  </si>
  <si>
    <t>Data contoh</t>
  </si>
  <si>
    <t>Isian kuning, link cloud-sipgn.contoh, dan indeks kemahalan di Ref adalah CONTOH fiktif. Ganti dengan data dan tautan riil.</t>
  </si>
  <si>
    <t>Status konsep</t>
  </si>
  <si>
    <t>Konsep untuk dibahas dengan Tim PPK dan Pengelola SIPGN; struktur kolom dapat disesuaikan dengan modul unggah SIPGN.</t>
  </si>
  <si>
    <t>A. PRODUKSI, DISTRIBUSI, DAN PENERIMAAN PORSI (APLIKASI POP DAN FLEET)</t>
  </si>
  <si>
    <t>No</t>
  </si>
  <si>
    <t>Kode Unik Transaksi (otomatis)</t>
  </si>
  <si>
    <t>Tanggal Transaksi</t>
  </si>
  <si>
    <t>Produksi dari Aplikasi POP; penerimaan PIC PM dari Aplikasi Fleet. PM dihitung hanya bila HPE, BNBA tersedia, nomor BAST terisi, dan bukti autentik BAST ter-link ke Cloud SIPGN.</t>
  </si>
  <si>
    <t>Nama Bahan</t>
  </si>
  <si>
    <t>Kategori</t>
  </si>
  <si>
    <t>Volume</t>
  </si>
  <si>
    <t>Satuan</t>
  </si>
  <si>
    <t>Harga Satuan (Rp)</t>
  </si>
  <si>
    <t>Jumlah (Rp)</t>
  </si>
  <si>
    <t>Nama Pemasok</t>
  </si>
  <si>
    <t>Kode</t>
  </si>
  <si>
    <t>No. Bukti/Nota</t>
  </si>
  <si>
    <t>Link Bukti Autentik (Cloud SIPGN)</t>
  </si>
  <si>
    <t>Status Nomor Bukti</t>
  </si>
  <si>
    <t>Kelompok Sasaran</t>
  </si>
  <si>
    <t>Status Tanggal</t>
  </si>
  <si>
    <t>Keterangan</t>
  </si>
  <si>
    <t>Kategori Porsi</t>
  </si>
  <si>
    <t>Jenis PIC</t>
  </si>
  <si>
    <t>Minggu ke- (dalam bulan)</t>
  </si>
  <si>
    <t>Target PM (SPS)</t>
  </si>
  <si>
    <t>Status Hari</t>
  </si>
  <si>
    <t>Didistribusikan ke PM (POP)</t>
  </si>
  <si>
    <t>Diterima PIC PM (Fleet)</t>
  </si>
  <si>
    <t>HPE</t>
  </si>
  <si>
    <t>HPE ke- pada minggu berkenaan (1–5)</t>
  </si>
  <si>
    <t>Tidak Diterima (Fleet)</t>
  </si>
  <si>
    <t>Dihitung sebagai HPE?</t>
  </si>
  <si>
    <t>Alasan Tidak Diterima</t>
  </si>
  <si>
    <t>Selisih Distribusi</t>
  </si>
  <si>
    <t>Data BNBA Tersedia</t>
  </si>
  <si>
    <t>No. BAST/Tanda Terima</t>
  </si>
  <si>
    <t>Link Bukti Autentik BAST (Cloud SIPGN)</t>
  </si>
  <si>
    <t>Status Bukti BAST</t>
  </si>
  <si>
    <t>PM Dihitung</t>
  </si>
  <si>
    <t>Capaian thd Target</t>
  </si>
  <si>
    <t>Pagu Bahan/Porsi Disesuaikan (Rp)</t>
  </si>
  <si>
    <t>KS-01</t>
  </si>
  <si>
    <t>PAUD/TK/RA</t>
  </si>
  <si>
    <t>Kecil</t>
  </si>
  <si>
    <t>Sekolah</t>
  </si>
  <si>
    <t>Indeks kemahalan harga Kab/Kota (otomatis dari Ref)</t>
  </si>
  <si>
    <t>PM tidak hadir</t>
  </si>
  <si>
    <t>Beras</t>
  </si>
  <si>
    <t>Karbohidrat</t>
  </si>
  <si>
    <t>kg</t>
  </si>
  <si>
    <t>Sumber indeks kemahalan</t>
  </si>
  <si>
    <t>Ya</t>
  </si>
  <si>
    <t>BAST-01</t>
  </si>
  <si>
    <t>https://cloud-sipgn.contoh/lpdh/bast/BAST-01.pdf</t>
  </si>
  <si>
    <t>Pemasok A</t>
  </si>
  <si>
    <t>NT-001</t>
  </si>
  <si>
    <t>https://cloud-sipgn.contoh/lpdh/bb/NT-001.pdf</t>
  </si>
  <si>
    <t>Pengunggahan</t>
  </si>
  <si>
    <t>Tanggal unggah ke SIPGN</t>
  </si>
  <si>
    <t>Jam unggah (jj:mm)</t>
  </si>
  <si>
    <t>Batas unggah</t>
  </si>
  <si>
    <t>C. RINCIAN BIAYA OPERASIONAL (AT COST)</t>
  </si>
  <si>
    <t>Setiap baris = satu transaksi dengan nomor bukti unik dan link bukti autentik. Insentif relawan dirinci pada lembar C1_Relawan.</t>
  </si>
  <si>
    <t>Tepat waktu?</t>
  </si>
  <si>
    <t>Daging ayam</t>
  </si>
  <si>
    <t>Protein hewani</t>
  </si>
  <si>
    <t>No. Bukti</t>
  </si>
  <si>
    <t>Pemasok B</t>
  </si>
  <si>
    <t>NT-002</t>
  </si>
  <si>
    <t>https://cloud-sipgn.contoh/lpdh/bb/NT-002.pdf</t>
  </si>
  <si>
    <t>Lihat C1_Relawan</t>
  </si>
  <si>
    <t>Nama berkas (otomatis)</t>
  </si>
  <si>
    <t>Insentif relawan (daftar nominatif C1_Relawan)</t>
  </si>
  <si>
    <t>Periode Transaksi yang Sah</t>
  </si>
  <si>
    <t>Tanggal</t>
  </si>
  <si>
    <t>Dari (tanggal pelayanan − toleransi pada Ref)</t>
  </si>
  <si>
    <t>orang</t>
  </si>
  <si>
    <t>Tahu</t>
  </si>
  <si>
    <t>Protein nabati</t>
  </si>
  <si>
    <t>potong</t>
  </si>
  <si>
    <t>Pemasok C</t>
  </si>
  <si>
    <t>Per orang di C1_Relawan</t>
  </si>
  <si>
    <t>NT-003</t>
  </si>
  <si>
    <t>KS-02</t>
  </si>
  <si>
    <t>https://cloud-sipgn.contoh/lpdh/bb/NT-003.pdf</t>
  </si>
  <si>
    <t>Sampai (tanggal pelayanan)</t>
  </si>
  <si>
    <t>SD/MI Kelas 1–3</t>
  </si>
  <si>
    <t>Penanda Tangan</t>
  </si>
  <si>
    <t>Nama Lengkap</t>
  </si>
  <si>
    <t>Jenis Identitas</t>
  </si>
  <si>
    <t>Nomor Identitas</t>
  </si>
  <si>
    <t>Status Identitas</t>
  </si>
  <si>
    <t>Kualitas tidak layak/tidak standar</t>
  </si>
  <si>
    <t>Sudah tanda tangan (Ya/Tidak)</t>
  </si>
  <si>
    <t>Disusun oleh: Pengawas Keuangan SPPG</t>
  </si>
  <si>
    <t>Nama Pengawas Keuangan</t>
  </si>
  <si>
    <t>NIK</t>
  </si>
  <si>
    <t>BAST-02</t>
  </si>
  <si>
    <t>https://cloud-sipgn.contoh/lpdh/bast/BAST-02.pdf</t>
  </si>
  <si>
    <t>1871000000000001</t>
  </si>
  <si>
    <t>Wortel</t>
  </si>
  <si>
    <t>Sayuran</t>
  </si>
  <si>
    <t>Pemasok D</t>
  </si>
  <si>
    <t>Insentif penanggung jawab satuan pendidikan</t>
  </si>
  <si>
    <t>NT-004/1</t>
  </si>
  <si>
    <t>https://cloud-sipgn.contoh/lpdh/bb/NT-004-1.pdf</t>
  </si>
  <si>
    <t>satuan</t>
  </si>
  <si>
    <t>Mengetahui: Kepala SPPG</t>
  </si>
  <si>
    <t>Nama Kepala SPPG</t>
  </si>
  <si>
    <t>NIP</t>
  </si>
  <si>
    <t>KS-03</t>
  </si>
  <si>
    <t>199001012026011001</t>
  </si>
  <si>
    <t>SD/MI Kelas 4–6</t>
  </si>
  <si>
    <t>Besar</t>
  </si>
  <si>
    <t>BAST-03</t>
  </si>
  <si>
    <t>https://cloud-sipgn.contoh/lpdh/bast/BAST-03.pdf</t>
  </si>
  <si>
    <t>KW-OP-002</t>
  </si>
  <si>
    <t>https://cloud-sipgn.contoh/lpdh/op/KW-OP-002.pdf</t>
  </si>
  <si>
    <t>Menyetujui: Perwakilan Mitra/Yayasan</t>
  </si>
  <si>
    <t>Nama Perwakilan Yayasan</t>
  </si>
  <si>
    <t>1871000000000002</t>
  </si>
  <si>
    <t>Buncis</t>
  </si>
  <si>
    <t>NT-004/2</t>
  </si>
  <si>
    <t>https://cloud-sipgn.contoh/lpdh/bb/NT-004-2.pdf</t>
  </si>
  <si>
    <t>NIK 16 digit (Pengawas Keuangan dan Perwakilan Yayasan); NIP 18 digit (Kepala SPPG). Nomor contoh fiktif, ganti dengan data riil. Nama dan nomor identitas otomatis tercetak pada lembar J_Pengesahan.</t>
  </si>
  <si>
    <t>KS-04</t>
  </si>
  <si>
    <t>SMP/MTs</t>
  </si>
  <si>
    <t>BAST-04</t>
  </si>
  <si>
    <t>https://cloud-sipgn.contoh/lpdh/bast/BAST-04.pdf</t>
  </si>
  <si>
    <t>Pisang</t>
  </si>
  <si>
    <t>Buah</t>
  </si>
  <si>
    <t>buah</t>
  </si>
  <si>
    <t>Insentif kader posyandu</t>
  </si>
  <si>
    <t>Pemasok E</t>
  </si>
  <si>
    <t>NT-005</t>
  </si>
  <si>
    <t>https://cloud-sipgn.contoh/lpdh/bb/NT-005.pdf</t>
  </si>
  <si>
    <t>KW-OP-003</t>
  </si>
  <si>
    <t>https://cloud-sipgn.contoh/lpdh/op/KW-OP-003.pdf</t>
  </si>
  <si>
    <t>KS-05</t>
  </si>
  <si>
    <t>SMA/MA/SMK/SLB</t>
  </si>
  <si>
    <t>Minyak goreng</t>
  </si>
  <si>
    <t>Minyak dan bumbu</t>
  </si>
  <si>
    <t>liter</t>
  </si>
  <si>
    <t>Pemasok F</t>
  </si>
  <si>
    <t>NT-006/1</t>
  </si>
  <si>
    <t>KS-06</t>
  </si>
  <si>
    <t>BPJS Ketenagakerjaan</t>
  </si>
  <si>
    <t>Santri</t>
  </si>
  <si>
    <t>https://cloud-sipgn.contoh/lpdh/bb/NT-006-1.pdf</t>
  </si>
  <si>
    <t>Bumbu dapur</t>
  </si>
  <si>
    <t>paket</t>
  </si>
  <si>
    <t>NT-006/2</t>
  </si>
  <si>
    <t>https://cloud-sipgn.contoh/lpdh/bb/NT-006-2.pdf</t>
  </si>
  <si>
    <t>Listrik</t>
  </si>
  <si>
    <t>hari</t>
  </si>
  <si>
    <t>KS-07</t>
  </si>
  <si>
    <t>Ibu Hamil</t>
  </si>
  <si>
    <t>3B</t>
  </si>
  <si>
    <t>KW-OP-005</t>
  </si>
  <si>
    <t>https://cloud-sipgn.contoh/lpdh/op/KW-OP-005.pdf</t>
  </si>
  <si>
    <t>BAST-05</t>
  </si>
  <si>
    <t>https://cloud-sipgn.contoh/lpdh/bast/BAST-05.pdf</t>
  </si>
  <si>
    <t>KS-08</t>
  </si>
  <si>
    <t>Ibu Menyusui</t>
  </si>
  <si>
    <t>BAST-06</t>
  </si>
  <si>
    <t>https://cloud-sipgn.contoh/lpdh/bast/BAST-06.pdf</t>
  </si>
  <si>
    <t>Air PDAM</t>
  </si>
  <si>
    <t>KW-OP-006</t>
  </si>
  <si>
    <t>https://cloud-sipgn.contoh/lpdh/op/KW-OP-006.pdf</t>
  </si>
  <si>
    <t>KS-09</t>
  </si>
  <si>
    <t>Anak Balita (6–59 bulan)</t>
  </si>
  <si>
    <t>Kemasan rusak/tumpah</t>
  </si>
  <si>
    <t>BAST-07</t>
  </si>
  <si>
    <t>https://cloud-sipgn.contoh/lpdh/bast/BAST-07.pdf</t>
  </si>
  <si>
    <t>Air minum/galon</t>
  </si>
  <si>
    <t>galon</t>
  </si>
  <si>
    <t>KW-OP-007</t>
  </si>
  <si>
    <t>https://cloud-sipgn.contoh/lpdh/op/KW-OP-007.pdf</t>
  </si>
  <si>
    <t>PTK</t>
  </si>
  <si>
    <t>Pendidik dan Tenaga Kependidikan</t>
  </si>
  <si>
    <t>C.1 DAFTAR NOMINATIF PEMBAYARAN INSENTIF RELAWAN</t>
  </si>
  <si>
    <t>BAST-08</t>
  </si>
  <si>
    <t>Setiap pembayaran wajib memiliki nomor bukti pembayaran unik dan link bukti autentik (kuitansi/bukti transfer). Total otomatis masuk ke C_Operasional.</t>
  </si>
  <si>
    <t>https://cloud-sipgn.contoh/lpdh/bast/BAST-08.pdf</t>
  </si>
  <si>
    <t>Nama Relawan</t>
  </si>
  <si>
    <t>Tugas</t>
  </si>
  <si>
    <t>Tanggal Pembayaran</t>
  </si>
  <si>
    <t>Hari Kerja</t>
  </si>
  <si>
    <t>Besaran Harian (Rp)</t>
  </si>
  <si>
    <t>Jumlah Diterima (Rp)</t>
  </si>
  <si>
    <t>Metode Bayar</t>
  </si>
  <si>
    <t>No. Bukti Pembayaran</t>
  </si>
  <si>
    <t>Link Bukti Bayar (Cloud SIPGN)</t>
  </si>
  <si>
    <t>Status Bukti</t>
  </si>
  <si>
    <t>Gas</t>
  </si>
  <si>
    <t>tabung</t>
  </si>
  <si>
    <t>KW-OP-008</t>
  </si>
  <si>
    <t>https://cloud-sipgn.contoh/lpdh/op/KW-OP-008.pdf</t>
  </si>
  <si>
    <t>JUMLAH</t>
  </si>
  <si>
    <t>Relawan 01</t>
  </si>
  <si>
    <t>Juru masak</t>
  </si>
  <si>
    <t>Transfer</t>
  </si>
  <si>
    <t>BYR-RL-001</t>
  </si>
  <si>
    <t>Sewa kendaraan</t>
  </si>
  <si>
    <t>https://cloud-sipgn.contoh/lpdh/relawan/BYR-RL-001.pdf</t>
  </si>
  <si>
    <t>BBM</t>
  </si>
  <si>
    <t>← Q: pagu bahan tertimbang setelah indeks kemahalan</t>
  </si>
  <si>
    <t>1. PRODUKSI (APLIKASI POP)</t>
  </si>
  <si>
    <t>KW-OP-010</t>
  </si>
  <si>
    <t>https://cloud-sipgn.contoh/lpdh/op/KW-OP-010.pdf</t>
  </si>
  <si>
    <t>Jumlah Porsi</t>
  </si>
  <si>
    <t>Sumber/Keterangan</t>
  </si>
  <si>
    <t>Total porsi diproduksi</t>
  </si>
  <si>
    <t>Aplikasi POP: total produksi hari ini</t>
  </si>
  <si>
    <t>a. Didistribusikan kepada PM</t>
  </si>
  <si>
    <t>Relawan 02</t>
  </si>
  <si>
    <t>Jumlah kolom F</t>
  </si>
  <si>
    <t>BYR-RL-002</t>
  </si>
  <si>
    <t>https://cloud-sipgn.contoh/lpdh/relawan/BYR-RL-002.pdf</t>
  </si>
  <si>
    <t>b. Uji organoleptik</t>
  </si>
  <si>
    <t>Aplikasi POP</t>
  </si>
  <si>
    <t>Pulsa dan internet</t>
  </si>
  <si>
    <t>c. Sampel makanan (retained sample)</t>
  </si>
  <si>
    <t>KW-OP-011</t>
  </si>
  <si>
    <t>https://cloud-sipgn.contoh/lpdh/op/KW-OP-011.pdf</t>
  </si>
  <si>
    <t>d. Tidak terdistribusi</t>
  </si>
  <si>
    <t>Aplikasi POP: sisa produksi yang tidak dikirim</t>
  </si>
  <si>
    <t>e. Buffer produksi</t>
  </si>
  <si>
    <t>Aplikasi POP: cadangan produksi</t>
  </si>
  <si>
    <t>Jumlah a s.d. e</t>
  </si>
  <si>
    <t>Relawan 03</t>
  </si>
  <si>
    <t>BYR-RL-003</t>
  </si>
  <si>
    <t>https://cloud-sipgn.contoh/lpdh/relawan/BYR-RL-003.pdf</t>
  </si>
  <si>
    <t>ATK</t>
  </si>
  <si>
    <t>Selisih produksi (harus 0)</t>
  </si>
  <si>
    <t>Total diproduksi − (a+b+c+d+e)</t>
  </si>
  <si>
    <t>Persentase buffer terhadap produksi</t>
  </si>
  <si>
    <t>Alat kebersihan</t>
  </si>
  <si>
    <t>Relawan 04</t>
  </si>
  <si>
    <t>Dibandingkan batas buffer pada lembar Ref</t>
  </si>
  <si>
    <t>KW-OP-013</t>
  </si>
  <si>
    <t>https://cloud-sipgn.contoh/lpdh/op/KW-OP-013.pdf</t>
  </si>
  <si>
    <t>BYR-RL-004</t>
  </si>
  <si>
    <t>https://cloud-sipgn.contoh/lpdh/relawan/BYR-RL-004.pdf</t>
  </si>
  <si>
    <t>2. PENERIMAAN (APLIKASI FLEET)</t>
  </si>
  <si>
    <t>Diterima PIC PM sekolah</t>
  </si>
  <si>
    <t>Satuan pendidikan (termasuk PTK)</t>
  </si>
  <si>
    <t>Diterima PIC PM 3B</t>
  </si>
  <si>
    <t>APD (masker, sarung tangan, penutup kepala)</t>
  </si>
  <si>
    <t>Posyandu/kader (ibu hamil, ibu menyusui, balita)</t>
  </si>
  <si>
    <t>KW-OP-014</t>
  </si>
  <si>
    <t>https://cloud-sipgn.contoh/lpdh/op/KW-OP-014.pdf</t>
  </si>
  <si>
    <t>Total diterima PIC PM</t>
  </si>
  <si>
    <t>Relawan 05</t>
  </si>
  <si>
    <t>BYR-RL-005</t>
  </si>
  <si>
    <t>https://cloud-sipgn.contoh/lpdh/relawan/BYR-RL-005.pdf</t>
  </si>
  <si>
    <t>Total tidak diterima</t>
  </si>
  <si>
    <t>Jumlah kolom H; rincian alasan di bawah</t>
  </si>
  <si>
    <t xml:space="preserve">   • Kualitas tidak layak/tidak standar</t>
  </si>
  <si>
    <t>Rincian alasan dari Aplikasi Fleet</t>
  </si>
  <si>
    <t>Biaya rapat koordinasi</t>
  </si>
  <si>
    <t xml:space="preserve">   • Kemasan rusak/tumpah</t>
  </si>
  <si>
    <t>Relawan 06</t>
  </si>
  <si>
    <t>BYR-RL-006</t>
  </si>
  <si>
    <t>https://cloud-sipgn.contoh/lpdh/relawan/BYR-RL-006.pdf</t>
  </si>
  <si>
    <t xml:space="preserve">   • PM tidak hadir</t>
  </si>
  <si>
    <t xml:space="preserve">   • Libur/kegiatan mendadak</t>
  </si>
  <si>
    <t>Lain-lain</t>
  </si>
  <si>
    <t xml:space="preserve">   • Keterlambatan pengiriman</t>
  </si>
  <si>
    <t>Relawan 07</t>
  </si>
  <si>
    <t>BYR-RL-007</t>
  </si>
  <si>
    <t>https://cloud-sipgn.contoh/lpdh/relawan/BYR-RL-007.pdf</t>
  </si>
  <si>
    <t xml:space="preserve">   • Kelebihan kirim/dikembalikan</t>
  </si>
  <si>
    <t>TOTAL BIAYA OPERASIONAL</t>
  </si>
  <si>
    <t xml:space="preserve">   • Lainnya</t>
  </si>
  <si>
    <t>Kesesuaian POP vs Fleet (harus 0)</t>
  </si>
  <si>
    <t>Indikator</t>
  </si>
  <si>
    <t>Nilai</t>
  </si>
  <si>
    <t>Didistribusikan (POP) − (diterima + tidak diterima (Fleet))</t>
  </si>
  <si>
    <t>PM dihitung (A_PM)</t>
  </si>
  <si>
    <t>Relawan 08</t>
  </si>
  <si>
    <t>3. DASAR PENGHITUNGAN INSENTIF</t>
  </si>
  <si>
    <t>BYR-RL-008</t>
  </si>
  <si>
    <t>https://cloud-sipgn.contoh/lpdh/relawan/BYR-RL-008.pdf</t>
  </si>
  <si>
    <t>PM dihitung dari kelompok sasaran</t>
  </si>
  <si>
    <t>Biaya operasional per PM (Rp)</t>
  </si>
  <si>
    <t>Diterima PIC PM, ber-BNBA, ber-BAST, dan bukti BAST ter-link</t>
  </si>
  <si>
    <t>Porsi uji organoleptik</t>
  </si>
  <si>
    <t>Pagu operasional per PM setelah indeks kemahalan (Rp)</t>
  </si>
  <si>
    <t>Diperhitungkan sesuai konsep SE butir E.3.b</t>
  </si>
  <si>
    <t>Porsi sampel makanan</t>
  </si>
  <si>
    <t>Status terhadap pagu</t>
  </si>
  <si>
    <t>TOTAL PM DIHITUNG UNTUK INSENTIF</t>
  </si>
  <si>
    <t>Relawan 09</t>
  </si>
  <si>
    <t>BYR-RL-009</t>
  </si>
  <si>
    <t>https://cloud-sipgn.contoh/lpdh/relawan/BYR-RL-009.pdf</t>
  </si>
  <si>
    <t>Dipakai pada lembar D_Insentif</t>
  </si>
  <si>
    <t>4. KELENGKAPAN BUKTI AUTENTIK BAST</t>
  </si>
  <si>
    <t>Kelompok sasaran yang menerima porsi</t>
  </si>
  <si>
    <t>Kelompok dengan bukti BAST ter-link</t>
  </si>
  <si>
    <t>Relawan 10</t>
  </si>
  <si>
    <t>Link ke lokasi unggah Cloud SIPGN</t>
  </si>
  <si>
    <t>BYR-RL-010</t>
  </si>
  <si>
    <t>Kelompok tanpa link bukti BAST</t>
  </si>
  <si>
    <t>https://cloud-sipgn.contoh/lpdh/relawan/BYR-RL-010.pdf</t>
  </si>
  <si>
    <t>Harus 0; PM kelompok ini tidak dihitung</t>
  </si>
  <si>
    <t>Buffer produksi dan porsi tidak terdistribusi tidak diperhitungkan dalam Insentif. Porsi tidak diterima wajib diberi alasan. Pagu bahan disesuaikan dengan indeks kemahalan Kab/Kota (Identitas!B21).</t>
  </si>
  <si>
    <t>Relawan 11</t>
  </si>
  <si>
    <t>BYR-RL-011</t>
  </si>
  <si>
    <t>https://cloud-sipgn.contoh/lpdh/relawan/BYR-RL-011.pdf</t>
  </si>
  <si>
    <t>Relawan 12</t>
  </si>
  <si>
    <t>BYR-RL-012</t>
  </si>
  <si>
    <t>https://cloud-sipgn.contoh/lpdh/relawan/BYR-RL-012.pdf</t>
  </si>
  <si>
    <t>Relawan 13</t>
  </si>
  <si>
    <t>Persiapan bahan</t>
  </si>
  <si>
    <t>BYR-RL-013</t>
  </si>
  <si>
    <t>https://cloud-sipgn.contoh/lpdh/relawan/BYR-RL-013.pdf</t>
  </si>
  <si>
    <t>TOTAL BELANJA BAHAN BAKU</t>
  </si>
  <si>
    <t>Relawan 14</t>
  </si>
  <si>
    <t>BYR-RL-014</t>
  </si>
  <si>
    <t>https://cloud-sipgn.contoh/lpdh/relawan/BYR-RL-014.pdf</t>
  </si>
  <si>
    <t>Porsi diproduksi (A_PM, Aplikasi POP)</t>
  </si>
  <si>
    <t>Rata-rata biaya bahan per porsi (Rp)</t>
  </si>
  <si>
    <t>Pagu bahan tertimbang setelah indeks kemahalan (Rp)</t>
  </si>
  <si>
    <t>Relawan 15</t>
  </si>
  <si>
    <t>BYR-RL-015</t>
  </si>
  <si>
    <t>https://cloud-sipgn.contoh/lpdh/relawan/BYR-RL-015.pdf</t>
  </si>
  <si>
    <t>Relawan 16</t>
  </si>
  <si>
    <t>BYR-RL-016</t>
  </si>
  <si>
    <t>https://cloud-sipgn.contoh/lpdh/relawan/BYR-RL-016.pdf</t>
  </si>
  <si>
    <t>D. PENGHITUNGAN DAN PEMBAYARAN INSENTIF KETERSEDIAAN DAN MUTU LAYANAN</t>
  </si>
  <si>
    <t>Insentif = tarif × PM dihitung bila seluruh syarat terpenuhi. Pembayaran harian ke Mitra/Yayasan sesuai pernyataan PPK, dengan bukti autentik.</t>
  </si>
  <si>
    <t>Syarat Pemberian Insentif</t>
  </si>
  <si>
    <t>Syarat Terpenuhi?</t>
  </si>
  <si>
    <t>Hari berstatus HPE (Identitas)</t>
  </si>
  <si>
    <t>Terjadi kontaminasi makanan/gagal penyaluran</t>
  </si>
  <si>
    <t>Tidak</t>
  </si>
  <si>
    <t>Relawan 17</t>
  </si>
  <si>
    <t>Terjadi kejadian fatal (keracunan)</t>
  </si>
  <si>
    <t>SPPG dalam status suspend</t>
  </si>
  <si>
    <t>Hasil verifikasi ketersediaan dan mutu layanan memenuhi</t>
  </si>
  <si>
    <t>BYR-RL-017</t>
  </si>
  <si>
    <t>https://cloud-sipgn.contoh/lpdh/relawan/BYR-RL-017.pdf</t>
  </si>
  <si>
    <t>Data penerima manfaat telah diinput pada SIPGN</t>
  </si>
  <si>
    <t>Insentif dapat diberikan</t>
  </si>
  <si>
    <t>Penghitungan Insentif Hari Ini</t>
  </si>
  <si>
    <t>Tarif per PM per HPE (Rp)</t>
  </si>
  <si>
    <t>Insentif dihitung hari ini (Rp)</t>
  </si>
  <si>
    <t>Relawan 18</t>
  </si>
  <si>
    <t>BYR-RL-018</t>
  </si>
  <si>
    <t>https://cloud-sipgn.contoh/lpdh/relawan/BYR-RL-018.pdf</t>
  </si>
  <si>
    <t>Pembayaran Insentif ke Mitra/Yayasan (Hari Ini)</t>
  </si>
  <si>
    <t>Nomor pernyataan besaran Insentif dari PPK</t>
  </si>
  <si>
    <t>PPK/INS/2026/XXXX</t>
  </si>
  <si>
    <t>Nilai pernyataan PPK (Rp)</t>
  </si>
  <si>
    <t>Nominal Insentif dibayarkan hari ini (Rp)</t>
  </si>
  <si>
    <t>Tanggal pembayaran</t>
  </si>
  <si>
    <t>Nomor bukti pembayaran (unik)</t>
  </si>
  <si>
    <t>BYR-INS-001</t>
  </si>
  <si>
    <t>Nomor kuitansi</t>
  </si>
  <si>
    <t>KW-INS-001</t>
  </si>
  <si>
    <t>Kuitansi ditandatangani Mitra (Ya/Tidak)</t>
  </si>
  <si>
    <t>Link PDF bukti bayar (Cloud SIPGN)</t>
  </si>
  <si>
    <t>https://cloud-sipgn.contoh/lpdh/insentif/BYR-INS-001.pdf</t>
  </si>
  <si>
    <t>Referensi transaksi VA (maker: Mitra; approver: Kepala SPPG)</t>
  </si>
  <si>
    <t>TRX-XXXXXX</t>
  </si>
  <si>
    <t>Kode unik transaksi (otomatis)</t>
  </si>
  <si>
    <t>E. POSISI SALDO PER KOMPONEN DAN BUKTI PENERIMAAN TOP UP</t>
  </si>
  <si>
    <t>Top up yang diterima wajib didukung kuitansi/bukti terima dengan nilai dan tanggal. Jumlah saldo akhir wajib sama dengan saldo VA pada mutasi rekening.</t>
  </si>
  <si>
    <t>Relawan 19</t>
  </si>
  <si>
    <t>Komponen</t>
  </si>
  <si>
    <t>Pemeriksaan Pembayaran</t>
  </si>
  <si>
    <t>Hasil</t>
  </si>
  <si>
    <t>Saldo Awal (Rp)</t>
  </si>
  <si>
    <t>Selisih pembayaran thd pernyataan PPK (Rp)</t>
  </si>
  <si>
    <t>Top Up Diterima Hari Ini (Rp)</t>
  </si>
  <si>
    <t>Pengeluaran/Pembayaran Hari Ini (Rp)</t>
  </si>
  <si>
    <t>BYR-RL-019</t>
  </si>
  <si>
    <t>Saldo Akhir (Rp)</t>
  </si>
  <si>
    <t>https://cloud-sipgn.contoh/lpdh/relawan/BYR-RL-019.pdf</t>
  </si>
  <si>
    <t>Biaya Bahan Baku Pangan</t>
  </si>
  <si>
    <t>Status nomor bukti</t>
  </si>
  <si>
    <t>Status tanggal pembayaran</t>
  </si>
  <si>
    <t>Relawan 20</t>
  </si>
  <si>
    <t>Status bukti autentik (nomor bukti, kuitansi bertanda tangan, link PDF)</t>
  </si>
  <si>
    <t>BYR-RL-020</t>
  </si>
  <si>
    <t>https://cloud-sipgn.contoh/lpdh/relawan/BYR-RL-020.pdf</t>
  </si>
  <si>
    <t>Biaya Operasional</t>
  </si>
  <si>
    <t>Pembayaran mengikuti nilai pernyataan PPK (dapat berbeda dari Insentif dihitung hari ini bila pernyataan PPK untuk HPE sebelumnya).</t>
  </si>
  <si>
    <t>Insentif Ketersediaan dan Mutu Layanan</t>
  </si>
  <si>
    <t>Relawan 21</t>
  </si>
  <si>
    <t>BYR-RL-021</t>
  </si>
  <si>
    <t>https://cloud-sipgn.contoh/lpdh/relawan/BYR-RL-021.pdf</t>
  </si>
  <si>
    <t>Saldo VA menurut mutasi rekening (Rp)</t>
  </si>
  <si>
    <t>Selisih (saldo komponen − saldo VA)</t>
  </si>
  <si>
    <t>Relawan 22</t>
  </si>
  <si>
    <t>Penjelasan selisih (wajib bila tidak nol)</t>
  </si>
  <si>
    <t>Informasi: Insentif dihitung hari ini (kewajiban, D_Insentif)</t>
  </si>
  <si>
    <t>BYR-RL-022</t>
  </si>
  <si>
    <t>https://cloud-sipgn.contoh/lpdh/relawan/BYR-RL-022.pdf</t>
  </si>
  <si>
    <t>F. USULAN DAN PERSETUJUAN TOP UP</t>
  </si>
  <si>
    <t>Kolom biru diisi Tim PPK berdasarkan hasil analisis LPDH.</t>
  </si>
  <si>
    <t>Usulan SPPG atas Hari Ini (Rp)</t>
  </si>
  <si>
    <t>Disetujui PPK (Rp)</t>
  </si>
  <si>
    <t>Selisih (Rp)</t>
  </si>
  <si>
    <t>Dana bahan baku dan operasional tidak boleh dipakai untuk Insentif; pergeseran bahan baku ↔ operasional hanya dengan persetujuan tertulis PPK.</t>
  </si>
  <si>
    <t>Catatan Analisis PPK</t>
  </si>
  <si>
    <t>Tanggal Diterima di VA</t>
  </si>
  <si>
    <t>No. SP2D/Referensi Top Up PPK</t>
  </si>
  <si>
    <t>Bahan Baku (Rp)</t>
  </si>
  <si>
    <t>Operasional (Rp)</t>
  </si>
  <si>
    <t>Insentif (Rp)</t>
  </si>
  <si>
    <t>Total Diterima (Rp)</t>
  </si>
  <si>
    <t>No. Kuitansi/Bukti Terima</t>
  </si>
  <si>
    <t>Link Bukti Terima (Cloud SIPGN)</t>
  </si>
  <si>
    <t>Relawan 23</t>
  </si>
  <si>
    <t>Pemorsian</t>
  </si>
  <si>
    <t>BYR-RL-023</t>
  </si>
  <si>
    <t>https://cloud-sipgn.contoh/lpdh/relawan/BYR-RL-023.pdf</t>
  </si>
  <si>
    <t>SP2D-XXXX/2026</t>
  </si>
  <si>
    <t>Relawan 24</t>
  </si>
  <si>
    <t>KW-TU-001</t>
  </si>
  <si>
    <t>https://cloud-sipgn.contoh/lpdh/topup/KW-TU-001.pdf</t>
  </si>
  <si>
    <t>BYR-RL-024</t>
  </si>
  <si>
    <t>https://cloud-sipgn.contoh/lpdh/relawan/BYR-RL-024.pdf</t>
  </si>
  <si>
    <t>Ruang top up s.d. batas saldo VA (Rp)</t>
  </si>
  <si>
    <t>Usulan dalam batas saldo VA?</t>
  </si>
  <si>
    <t>Relawan 25</t>
  </si>
  <si>
    <t>G. DAFTAR PERIKSA OTOMATIS UNTUK TIM PPK</t>
  </si>
  <si>
    <t>OK = sesuai; PERIKSA = perlu klarifikasi atau perbaikan sebelum top up diproses.</t>
  </si>
  <si>
    <t>BYR-RL-025</t>
  </si>
  <si>
    <t>https://cloud-sipgn.contoh/lpdh/relawan/BYR-RL-025.pdf</t>
  </si>
  <si>
    <t>Pemeriksaan</t>
  </si>
  <si>
    <t>Nama/NIP verifikator PPK</t>
  </si>
  <si>
    <t>Dasar</t>
  </si>
  <si>
    <t>Tanggal verifikasi</t>
  </si>
  <si>
    <t>Identitas wajib terisi (ID SPPG, nama, tanggal, VA)</t>
  </si>
  <si>
    <t>SE E.6</t>
  </si>
  <si>
    <t>Hari berstatus HPE dan HPE ke- tidak lebih dari 5</t>
  </si>
  <si>
    <t>Relawan 26</t>
  </si>
  <si>
    <t>Perban 13/2026 Ps. 3</t>
  </si>
  <si>
    <t>Produksi POP seimbang (distribusi + organoleptik + sampel + tidak terdistribusi + buffer)</t>
  </si>
  <si>
    <t>BYR-RL-026</t>
  </si>
  <si>
    <t>https://cloud-sipgn.contoh/lpdh/relawan/BYR-RL-026.pdf</t>
  </si>
  <si>
    <t>Distribusi POP sesuai penerimaan Fleet (per baris dan total)</t>
  </si>
  <si>
    <t>Relawan 27</t>
  </si>
  <si>
    <t>Aplikasi POP dan Fleet</t>
  </si>
  <si>
    <t>Porsi tidak diterima seluruhnya diberi alasan</t>
  </si>
  <si>
    <t>BYR-RL-027</t>
  </si>
  <si>
    <t>https://cloud-sipgn.contoh/lpdh/relawan/BYR-RL-027.pdf</t>
  </si>
  <si>
    <t>Aplikasi Fleet</t>
  </si>
  <si>
    <t>Buffer produksi dalam batas yang ditetapkan</t>
  </si>
  <si>
    <t>Ditetapkan PPK</t>
  </si>
  <si>
    <t>Kelompok yang menerima porsi memiliki BNBA dan nomor BAST</t>
  </si>
  <si>
    <t>Relawan 28</t>
  </si>
  <si>
    <t>BYR-RL-028</t>
  </si>
  <si>
    <t>https://cloud-sipgn.contoh/lpdh/relawan/BYR-RL-028.pdf</t>
  </si>
  <si>
    <t>SE E.4.f</t>
  </si>
  <si>
    <t>Bukti autentik BAST ter-link ke Cloud SIPGN</t>
  </si>
  <si>
    <t>Koreksi Tim PPK</t>
  </si>
  <si>
    <t>PM dihitung tidak melebihi target SPS (indikasi anomali)</t>
  </si>
  <si>
    <t>SE E.3.c</t>
  </si>
  <si>
    <t>Indeks kemahalan Kab/Kota tercantum di Ref</t>
  </si>
  <si>
    <t>Relawan 29</t>
  </si>
  <si>
    <t>Asas keadilan antarwilayah</t>
  </si>
  <si>
    <t>Biaya bahan per porsi dalam pagu setelah indeks kemahalan</t>
  </si>
  <si>
    <t>BYR-RL-029</t>
  </si>
  <si>
    <t>https://cloud-sipgn.contoh/lpdh/relawan/BYR-RL-029.pdf</t>
  </si>
  <si>
    <t>Kepka 401.1/2025</t>
  </si>
  <si>
    <t>Biaya operasional per PM dalam pagu setelah indeks kemahalan</t>
  </si>
  <si>
    <t>Setiap transaksi bernilai memiliki link bukti autentik</t>
  </si>
  <si>
    <t>Relawan 30</t>
  </si>
  <si>
    <t>Nomor bukti transaksi tidak duplikat</t>
  </si>
  <si>
    <t>BYR-RL-030</t>
  </si>
  <si>
    <t>https://cloud-sipgn.contoh/lpdh/relawan/BYR-RL-030.pdf</t>
  </si>
  <si>
    <t>Tanggal transaksi sesuai periode kegiatan/produksi</t>
  </si>
  <si>
    <t>H. REKAP SATU BARIS UNTUK KONSOLIDASI PPK</t>
  </si>
  <si>
    <t>Salin baris 5 (tempel sebagai nilai) ke basis data konsolidasi. Urutan dan nama kolom jangan diubah.</t>
  </si>
  <si>
    <t>Pembayaran insentif relawan lengkap (nominatif, nomor bukti, link bukti bayar)</t>
  </si>
  <si>
    <t>ID_SPPG</t>
  </si>
  <si>
    <t>Nama_SPPG</t>
  </si>
  <si>
    <t>Kab_Kota</t>
  </si>
  <si>
    <t>Mitra_Yayasan</t>
  </si>
  <si>
    <t>Nomor_VA</t>
  </si>
  <si>
    <t>Status_Hari</t>
  </si>
  <si>
    <t>HPE_Ke</t>
  </si>
  <si>
    <t>Dihitung_HPE</t>
  </si>
  <si>
    <t>Indeks_Kemahalan</t>
  </si>
  <si>
    <t>Target_PM_SPS</t>
  </si>
  <si>
    <t>POP_Diproduksi</t>
  </si>
  <si>
    <t>Syarat pemberian Insentif terpenuhi</t>
  </si>
  <si>
    <t>POP_Didistribusikan_PM</t>
  </si>
  <si>
    <t>POP_Uji_Organoleptik</t>
  </si>
  <si>
    <t>Relawan 31</t>
  </si>
  <si>
    <t>POP_Sampel_Makanan</t>
  </si>
  <si>
    <t>POP_Tidak_Terdistribusi</t>
  </si>
  <si>
    <t>POP_Buffer</t>
  </si>
  <si>
    <t>POP_Selisih</t>
  </si>
  <si>
    <t>BYR-RL-031</t>
  </si>
  <si>
    <t>Fleet_Diterima_Sekolah</t>
  </si>
  <si>
    <t>https://cloud-sipgn.contoh/lpdh/relawan/BYR-RL-031.pdf</t>
  </si>
  <si>
    <t>Fleet_Diterima_3B</t>
  </si>
  <si>
    <t>SE E.4; Kepka Diktum KETUJUH</t>
  </si>
  <si>
    <t>Fleet_Tidak_Diterima</t>
  </si>
  <si>
    <t>Insentif dihitung = tarif × PM dihitung</t>
  </si>
  <si>
    <t>Fleet_Tidak_Diterima_Kualitas</t>
  </si>
  <si>
    <t>Selisih_POP_Fleet</t>
  </si>
  <si>
    <t>BAST_Kelompok_Menerima</t>
  </si>
  <si>
    <t>BAST_Berlink</t>
  </si>
  <si>
    <t>Link_BAST</t>
  </si>
  <si>
    <t>PM_Dihitung</t>
  </si>
  <si>
    <t>Capaian_Target</t>
  </si>
  <si>
    <t>Belanja_Bahan_Baku</t>
  </si>
  <si>
    <t>Bahan_per_Porsi</t>
  </si>
  <si>
    <t>Pagu_Bahan_Disesuaikan</t>
  </si>
  <si>
    <t>Biaya_Operasional</t>
  </si>
  <si>
    <t>Operasional_per_PM</t>
  </si>
  <si>
    <t>Pagu_Operasional_Disesuaikan</t>
  </si>
  <si>
    <t>Insentif_Relawan_Total</t>
  </si>
  <si>
    <t>Jumlah_Relawan_Dibayar</t>
  </si>
  <si>
    <t>Insentif_Dihitung</t>
  </si>
  <si>
    <t>Insentif_Dibayar</t>
  </si>
  <si>
    <t>Kepka Diktum KESATU</t>
  </si>
  <si>
    <t>No_Bukti_Bayar_Insentif</t>
  </si>
  <si>
    <t>Link_Bukti_Bayar_Insentif</t>
  </si>
  <si>
    <t>Pembayaran Insentif sama dengan pernyataan PPK</t>
  </si>
  <si>
    <t>TopUp_Diterima_Total</t>
  </si>
  <si>
    <t>No_Kuitansi_TopUp</t>
  </si>
  <si>
    <t>Saldo_Akhir_Bahan</t>
  </si>
  <si>
    <t>Saldo_Akhir_Operasional</t>
  </si>
  <si>
    <t>Saldo_Akhir_Insentif</t>
  </si>
  <si>
    <t>Saldo_Akhir_Total</t>
  </si>
  <si>
    <t>Saldo_VA_Mutasi</t>
  </si>
  <si>
    <t>Selisih_Saldo</t>
  </si>
  <si>
    <t>SE E.8.c</t>
  </si>
  <si>
    <t>Usulan_TopUp_Total</t>
  </si>
  <si>
    <t>Disetujui_PPK_Total</t>
  </si>
  <si>
    <t>Pembayaran Insentif ke Mitra/Yayasan didukung bukti autentik</t>
  </si>
  <si>
    <t>Nomor_Bukti_Duplikat</t>
  </si>
  <si>
    <t>Transaksi_Luar_Periode</t>
  </si>
  <si>
    <t>Transaksi_Tanpa_Link</t>
  </si>
  <si>
    <t>Nama_Pengawas_Keuangan</t>
  </si>
  <si>
    <t>NIK_Pengawas_Keuangan</t>
  </si>
  <si>
    <t>Nama_Kepala_SPPG</t>
  </si>
  <si>
    <t>Relawan 32</t>
  </si>
  <si>
    <t>NIP_Kepala_SPPG</t>
  </si>
  <si>
    <t>Nama_Perwakilan_Yayasan</t>
  </si>
  <si>
    <t>NIK_Perwakilan_Yayasan</t>
  </si>
  <si>
    <t>Unggah_Tepat_Waktu</t>
  </si>
  <si>
    <t>Jumlah_PERIKSA</t>
  </si>
  <si>
    <t>BYR-RL-032</t>
  </si>
  <si>
    <t>Status_Validasi</t>
  </si>
  <si>
    <t>https://cloud-sipgn.contoh/lpdh/relawan/BYR-RL-032.pdf</t>
  </si>
  <si>
    <t>SE E.8.d; Koreksi Tim PPK</t>
  </si>
  <si>
    <t>Penerimaan top up didukung kuitansi/bukti terima, nilai, dan tanggal</t>
  </si>
  <si>
    <t>Saldo akhir setiap komponen tidak negatif</t>
  </si>
  <si>
    <t>SE E.7.e</t>
  </si>
  <si>
    <t>Jumlah saldo komponen sama dengan saldo VA</t>
  </si>
  <si>
    <t>Relawan 33</t>
  </si>
  <si>
    <t>Pencucian</t>
  </si>
  <si>
    <t>BYR-RL-033</t>
  </si>
  <si>
    <t>https://cloud-sipgn.contoh/lpdh/relawan/BYR-RL-033.pdf</t>
  </si>
  <si>
    <t>SE E.7.c</t>
  </si>
  <si>
    <t>Tanda tangan tiga pihak lengkap, dengan nama dan NIK/NIP valid</t>
  </si>
  <si>
    <t>SE E.4.c angka 5</t>
  </si>
  <si>
    <t>LPDH diunggah tepat waktu (H+1 pukul 06.00)</t>
  </si>
  <si>
    <t>SE E.6.d</t>
  </si>
  <si>
    <t>Relawan 34</t>
  </si>
  <si>
    <t>Usulan top up dalam batas saldo VA</t>
  </si>
  <si>
    <t>BYR-RL-034</t>
  </si>
  <si>
    <t>https://cloud-sipgn.contoh/lpdh/relawan/BYR-RL-034.pdf</t>
  </si>
  <si>
    <t>Jumlah butir PERIKSA</t>
  </si>
  <si>
    <t>KESIMPULAN</t>
  </si>
  <si>
    <t>Relawan 35</t>
  </si>
  <si>
    <t>BYR-RL-035</t>
  </si>
  <si>
    <t>https://cloud-sipgn.contoh/lpdh/relawan/BYR-RL-035.pdf</t>
  </si>
  <si>
    <t>Relawan 36</t>
  </si>
  <si>
    <t>BYR-RL-036</t>
  </si>
  <si>
    <t>https://cloud-sipgn.contoh/lpdh/relawan/BYR-RL-036.pdf</t>
  </si>
  <si>
    <t>Relawan 37</t>
  </si>
  <si>
    <t>BYR-RL-037</t>
  </si>
  <si>
    <t>https://cloud-sipgn.contoh/lpdh/relawan/BYR-RL-037.pdf</t>
  </si>
  <si>
    <t>Relawan 38</t>
  </si>
  <si>
    <t>BYR-RL-038</t>
  </si>
  <si>
    <t>https://cloud-sipgn.contoh/lpdh/relawan/BYR-RL-038.pdf</t>
  </si>
  <si>
    <t>I. REGISTER NOMOR BUKTI TRANSAKSI</t>
  </si>
  <si>
    <t>Terisi otomatis. Dipakai untuk memastikan nomor bukti tidak duplikat dan tanggal transaksi sesuai periode. Tim PPK dapat menggabungkan register antarhari/antar-SPPG untuk uji duplikasi lintas berkas.</t>
  </si>
  <si>
    <t>Sumber</t>
  </si>
  <si>
    <t>Kode Unik Transaksi</t>
  </si>
  <si>
    <t>Nomor Bukti</t>
  </si>
  <si>
    <t>Nilai (Rp)</t>
  </si>
  <si>
    <t>Link Bukti</t>
  </si>
  <si>
    <t>Status Nomor</t>
  </si>
  <si>
    <t>Bahan baku</t>
  </si>
  <si>
    <t>Relawan 39</t>
  </si>
  <si>
    <t>BYR-RL-039</t>
  </si>
  <si>
    <t>https://cloud-sipgn.contoh/lpdh/relawan/BYR-RL-039.pdf</t>
  </si>
  <si>
    <t>Relawan 40</t>
  </si>
  <si>
    <t>Distribusi</t>
  </si>
  <si>
    <t>BYR-RL-040</t>
  </si>
  <si>
    <t>https://cloud-sipgn.contoh/lpdh/relawan/BYR-RL-040.pdf</t>
  </si>
  <si>
    <t>Relawan 41</t>
  </si>
  <si>
    <t>BYR-RL-041</t>
  </si>
  <si>
    <t>https://cloud-sipgn.contoh/lpdh/relawan/BYR-RL-041.pdf</t>
  </si>
  <si>
    <t>LEMBAR PENGESAHAN</t>
  </si>
  <si>
    <t>LAPORAN PENGGUNAAN DANA HARIAN (LPDH) SPPG</t>
  </si>
  <si>
    <t>PROGRAM MAKAN BERGIZI GRATIS TAHUN ANGGARAN 2026</t>
  </si>
  <si>
    <t>ID SPPG / Nama SPPG</t>
  </si>
  <si>
    <t>Relawan 42</t>
  </si>
  <si>
    <t>:</t>
  </si>
  <si>
    <t>BYR-RL-042</t>
  </si>
  <si>
    <t>https://cloud-sipgn.contoh/lpdh/relawan/BYR-RL-042.pdf</t>
  </si>
  <si>
    <t>Kabupaten/Kota, Provinsi</t>
  </si>
  <si>
    <t>Mitra/Yayasan</t>
  </si>
  <si>
    <t>Relawan 43</t>
  </si>
  <si>
    <t>BYR-RL-043</t>
  </si>
  <si>
    <t>https://cloud-sipgn.contoh/lpdh/relawan/BYR-RL-043.pdf</t>
  </si>
  <si>
    <t>Tanggal pelayanan</t>
  </si>
  <si>
    <t>Status hari</t>
  </si>
  <si>
    <t>Ringkasan angka laporan</t>
  </si>
  <si>
    <t>Jumlah penerima manfaat dihitung</t>
  </si>
  <si>
    <t>Relawan 44</t>
  </si>
  <si>
    <t>BYR-RL-044</t>
  </si>
  <si>
    <t>https://cloud-sipgn.contoh/lpdh/relawan/BYR-RL-044.pdf</t>
  </si>
  <si>
    <t>Belanja bahan baku pangan (Rp)</t>
  </si>
  <si>
    <t>Biaya operasional (Rp)</t>
  </si>
  <si>
    <t>Insentif dihitung (Rp)</t>
  </si>
  <si>
    <t>Relawan 45</t>
  </si>
  <si>
    <t>BYR-RL-045</t>
  </si>
  <si>
    <t>Insentif dibayarkan ke Mitra/Yayasan (Rp)</t>
  </si>
  <si>
    <t>https://cloud-sipgn.contoh/lpdh/relawan/BYR-RL-045.pdf</t>
  </si>
  <si>
    <t>Saldo akhir VA (Rp)</t>
  </si>
  <si>
    <t>Usulan top up (Rp)</t>
  </si>
  <si>
    <t>Hasil daftar periksa</t>
  </si>
  <si>
    <t>Kami yang bertanda tangan di bawah ini menyatakan bahwa data dan angka dalam Laporan Penggunaan Dana Harian ini benar, sesuai dengan kondisi riil, dan didukung bukti autentik yang sah. Apabila di kemudian hari ditemukan ketidaksesuaian, kami bersedia mempertanggungjawabkannya sesuai ketentuan peraturan perundang-undangan.</t>
  </si>
  <si>
    <t>Relawan 46</t>
  </si>
  <si>
    <t>Keamanan</t>
  </si>
  <si>
    <t>BYR-RL-046</t>
  </si>
  <si>
    <t>Disusun oleh,</t>
  </si>
  <si>
    <t>Mengetahui,</t>
  </si>
  <si>
    <t>Menyetujui,</t>
  </si>
  <si>
    <t>https://cloud-sipgn.contoh/lpdh/relawan/BYR-RL-046.pdf</t>
  </si>
  <si>
    <t>Pengawas Keuangan SPPG</t>
  </si>
  <si>
    <t>Kepala SPPG</t>
  </si>
  <si>
    <t>Perwakilan Mitra/Yayasan</t>
  </si>
  <si>
    <t>(cap SPPG)</t>
  </si>
  <si>
    <t>(cap Yayasan)</t>
  </si>
  <si>
    <t>Relawan 47</t>
  </si>
  <si>
    <t>BYR-RL-047</t>
  </si>
  <si>
    <t>https://cloud-sipgn.contoh/lpdh/relawan/BYR-RL-047.pdf</t>
  </si>
  <si>
    <t>REFERENSI DAN PARAMETER</t>
  </si>
  <si>
    <t>Parameter dikunci oleh PPK. Ubah hanya bila ketentuan berubah, dan catat sumbernya.</t>
  </si>
  <si>
    <t>Parameter</t>
  </si>
  <si>
    <t>Tarif Insentif per penerima manfaat per HPE</t>
  </si>
  <si>
    <t>Rp</t>
  </si>
  <si>
    <t>Rancangan Kepka BGN tentang Besaran Insentif, Diktum KESATU</t>
  </si>
  <si>
    <t>Pagu bahan baku per porsi kecil (dasar)</t>
  </si>
  <si>
    <t>Rp/porsi</t>
  </si>
  <si>
    <t>Kepka 401.1/2025 (PAUD/TK/RA, SD/MI kelas 1–3, balita)</t>
  </si>
  <si>
    <t>Pagu bahan baku per porsi besar (dasar)</t>
  </si>
  <si>
    <t>Kepka 401.1/2025 (kelompok lainnya)</t>
  </si>
  <si>
    <t>Pagu biaya operasional per penerima manfaat (dasar)</t>
  </si>
  <si>
    <t>Rp/orang</t>
  </si>
  <si>
    <t>Batas saldo maksimum VA SPPG</t>
  </si>
  <si>
    <t>Kepka 401.1/2025 angka 3.1.5 huruf d</t>
  </si>
  <si>
    <t>Hari pelayanan efektif maksimum per minggu</t>
  </si>
  <si>
    <t>Perban 13/2026 Pasal 3 ayat (2)</t>
  </si>
  <si>
    <t>Batas unggah LPDH (jam pada H+1)</t>
  </si>
  <si>
    <t>pukul</t>
  </si>
  <si>
    <t>Konsep SE butir E.6.d (H+1 pukul 06.00 waktu setempat)</t>
  </si>
  <si>
    <t>Batas buffer produksi (persentase dari produksi)</t>
  </si>
  <si>
    <t>%</t>
  </si>
  <si>
    <t>Ditetapkan PPK; bila kosong, pemeriksaan berstatus BELUM DITETAPKAN</t>
  </si>
  <si>
    <t>Toleransi tanggal transaksi sebelum tanggal pelayanan</t>
  </si>
  <si>
    <t>Ditetapkan PPK; contoh: pembelian bahan pada H-1</t>
  </si>
  <si>
    <t>Indeks kemahalan diterapkan pada pagu bahan baku</t>
  </si>
  <si>
    <t>Ya/Tidak</t>
  </si>
  <si>
    <t>Asas keadilan antarwilayah; Kepka 401.1/2025 (indeks kemahalan sebagai acuan at cost)</t>
  </si>
  <si>
    <t>Indeks kemahalan diterapkan pada pagu operasional</t>
  </si>
  <si>
    <t>Pagu Bahan Dasar/Porsi (Rp)</t>
  </si>
  <si>
    <t>Kode KS-01 s.d. KS-09 mengikuti Tabel 2.1 Draf Juknis Pelaporan MBG; PTK ditambahkan sesuai format LPDH.</t>
  </si>
  <si>
    <t>Dihitung HPE?</t>
  </si>
  <si>
    <t>Libur nasional/cuti bersama</t>
  </si>
  <si>
    <t>Libur sekolah/libur khusus daerah</t>
  </si>
  <si>
    <t>Tanpa pembelajaran tatap muka</t>
  </si>
  <si>
    <t>Kondisi tertentu (pemda/BGN)</t>
  </si>
  <si>
    <t>Melebihi 5 hari dalam seminggu</t>
  </si>
  <si>
    <t>Kategori Bahan</t>
  </si>
  <si>
    <t>Susu</t>
  </si>
  <si>
    <t>Lainnya</t>
  </si>
  <si>
    <t>Alasan Porsi Tidak Diterima (Fleet)</t>
  </si>
  <si>
    <t>Libur/kegiatan mendadak</t>
  </si>
  <si>
    <t>Keterlambatan pengiriman</t>
  </si>
  <si>
    <t>Kelebihan kirim/dikembalikan</t>
  </si>
  <si>
    <t>Indeks Kemahalan Harga</t>
  </si>
  <si>
    <t>Sumber dan Tahun Penetapan</t>
  </si>
  <si>
    <t>CONTOH: diganti dengan indeks resmi yang ditetapkan</t>
  </si>
  <si>
    <t>Kabupaten Contoh A</t>
  </si>
  <si>
    <t>CONTOH</t>
  </si>
  <si>
    <t>Papua Pegunungan</t>
  </si>
  <si>
    <t>Kabupaten Contoh B</t>
  </si>
  <si>
    <t>Indeks 100% = tidak ada penyesuaian. Diisi PPK per kabupaten/kota; nama kabupaten/kota harus sama persis dengan Identitas!B10.</t>
  </si>
  <si>
    <t>Operasional</t>
  </si>
  <si>
    <t>Insentif relawan</t>
  </si>
  <si>
    <t>Insentif Mitra/Yayasan</t>
  </si>
  <si>
    <t>Penerimaan top up</t>
  </si>
  <si>
    <t>Jumlah nomor DUPLIKAT</t>
  </si>
  <si>
    <t>Jumlah transaksi DI LUAR PERIODE / TANGGAL KOSONG</t>
  </si>
  <si>
    <t>Jumlah transaksi bernilai tanpa link bukti</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</si>
</sst>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0;\(#,##0\);\-"/>
    <numFmt numFmtId="166" formatCode="#,##0.##"/>
    <numFmt numFmtId="167" formatCode="0.0%"/>
    <numFmt numFmtId="168" formatCode="hh:mm"/>
    <numFmt numFmtId="169" formatCode="dd\-mm\-yyyy\ hh:mm"/>
    <numFmt numFmtId="170" formatCode="0&quot; orang&quot;"/>
  </numFmts>
  <fonts count="18">
    <font>
      <sz val="11.0"/>
      <color theme="1"/>
      <name val="Calibri"/>
      <scheme val="minor"/>
    </font>
    <font>
      <b/>
      <sz val="14.0"/>
      <color rgb="FF13294B"/>
      <name val="Arial"/>
    </font>
    <font>
      <i/>
      <sz val="9.0"/>
      <color rgb="FF595959"/>
      <name val="Arial"/>
    </font>
    <font>
      <b/>
      <sz val="11.0"/>
      <color rgb="FF1E7F6E"/>
      <name val="Arial"/>
    </font>
    <font>
      <b/>
      <sz val="10.0"/>
      <color rgb="FFFFFFFF"/>
      <name val="Arial"/>
    </font>
    <font>
      <b/>
      <sz val="10.0"/>
      <color rgb="FF0000FF"/>
      <name val="Arial"/>
    </font>
    <font>
      <sz val="10.0"/>
      <color rgb="FF000000"/>
      <name val="Arial"/>
    </font>
    <font>
      <sz val="10.0"/>
      <color rgb="FF0000FF"/>
      <name val="Arial"/>
    </font>
    <font>
      <b/>
      <sz val="10.0"/>
      <color rgb="FF000000"/>
      <name val="Arial"/>
    </font>
    <font/>
    <font>
      <u/>
      <sz val="10.0"/>
      <color rgb="FF000000"/>
      <name val="Arial"/>
    </font>
    <font>
      <b/>
      <sz val="13.0"/>
      <color theme="1"/>
      <name val="Arial"/>
    </font>
    <font>
      <b/>
      <sz val="12.0"/>
      <color theme="1"/>
      <name val="Arial"/>
    </font>
    <font>
      <b/>
      <sz val="11.0"/>
      <color theme="1"/>
      <name val="Arial"/>
    </font>
    <font>
      <sz val="11.0"/>
      <color theme="1"/>
      <name val="Arial"/>
    </font>
    <font>
      <sz val="10.0"/>
      <color theme="1"/>
      <name val="Arial"/>
    </font>
    <font>
      <i/>
      <sz val="8.0"/>
      <color theme="1"/>
      <name val="Arial"/>
    </font>
    <font>
      <b/>
      <u/>
      <sz val="11.0"/>
      <color theme="1"/>
      <name val="Arial"/>
    </font>
  </fonts>
  <fills count="7">
    <fill>
      <patternFill patternType="none"/>
    </fill>
    <fill>
      <patternFill patternType="lightGray"/>
    </fill>
    <fill>
      <patternFill patternType="solid">
        <fgColor rgb="FF13294B"/>
        <bgColor rgb="FF13294B"/>
      </patternFill>
    </fill>
    <fill>
      <patternFill patternType="solid">
        <fgColor rgb="FFFFF2CC"/>
        <bgColor rgb="FFFFF2CC"/>
      </patternFill>
    </fill>
    <fill>
      <patternFill patternType="solid">
        <fgColor rgb="FFDDEBF7"/>
        <bgColor rgb="FFDDEBF7"/>
      </patternFill>
    </fill>
    <fill>
      <patternFill patternType="solid">
        <fgColor rgb="FFC6EFCE"/>
        <bgColor rgb="FFC6EFCE"/>
      </patternFill>
    </fill>
    <fill>
      <patternFill patternType="solid">
        <fgColor rgb="FFF2F2F2"/>
        <bgColor rgb="FFF2F2F2"/>
      </patternFill>
    </fill>
  </fills>
  <borders count="7">
    <border/>
    <border>
      <left style="thin">
        <color rgb="FFA6A6A6"/>
      </left>
      <right style="thin">
        <color rgb="FFA6A6A6"/>
      </right>
      <top style="thin">
        <color rgb="FFA6A6A6"/>
      </top>
      <bottom style="thin">
        <color rgb="FFA6A6A6"/>
      </bottom>
    </border>
    <border>
      <left/>
      <right/>
      <top/>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bottom style="hair">
        <color rgb="FF80808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2" fillId="3" fontId="5" numFmtId="0" xfId="0" applyAlignment="1" applyBorder="1" applyFill="1" applyFont="1">
      <alignment shrinkToFit="0" vertical="bottom" wrapText="0"/>
    </xf>
    <xf borderId="1" fillId="0" fontId="6" numFmtId="0" xfId="0" applyAlignment="1" applyBorder="1" applyFont="1">
      <alignment shrinkToFit="0" vertical="center" wrapText="1"/>
    </xf>
    <xf borderId="0" fillId="0" fontId="6" numFmtId="0" xfId="0" applyAlignment="1" applyFont="1">
      <alignment shrinkToFit="0" vertical="top" wrapText="1"/>
    </xf>
    <xf borderId="1" fillId="3" fontId="7" numFmtId="0" xfId="0" applyAlignment="1" applyBorder="1" applyFill="1" applyFont="1">
      <alignment shrinkToFit="0" vertical="center" wrapText="0"/>
    </xf>
    <xf borderId="2" fillId="4" fontId="5" numFmtId="0" xfId="0" applyAlignment="1" applyBorder="1" applyFill="1" applyFont="1">
      <alignment shrinkToFit="0" vertical="bottom" wrapText="0"/>
    </xf>
    <xf borderId="0" fillId="0" fontId="8" numFmtId="0" xfId="0" applyAlignment="1" applyFont="1">
      <alignment shrinkToFit="0" vertical="bottom" wrapText="0"/>
    </xf>
    <xf borderId="2" fillId="5" fontId="8" numFmtId="0" xfId="0" applyAlignment="1" applyBorder="1" applyFill="1" applyFont="1">
      <alignment shrinkToFit="0" vertical="bottom" wrapText="0"/>
    </xf>
    <xf borderId="1" fillId="3" fontId="7" numFmtId="164" xfId="0" applyAlignment="1" applyBorder="1" applyFill="1" applyFont="1" applyNumberFormat="1">
      <alignment shrinkToFit="0" vertical="center" wrapText="0"/>
    </xf>
    <xf borderId="1" fillId="0" fontId="6" numFmtId="0" xfId="0" applyAlignment="1" applyBorder="1" applyFont="1">
      <alignment shrinkToFit="0" vertical="center" wrapText="0"/>
    </xf>
    <xf borderId="1" fillId="0" fontId="6" numFmtId="0" xfId="0" applyAlignment="1" applyBorder="1" applyFont="1">
      <alignment horizontal="center" shrinkToFit="0" vertical="center" wrapText="0"/>
    </xf>
    <xf borderId="1" fillId="3" fontId="7" numFmtId="165" xfId="0" applyAlignment="1" applyBorder="1" applyFill="1" applyFont="1" applyNumberFormat="1">
      <alignment shrinkToFit="0" vertical="center" wrapText="0"/>
    </xf>
    <xf borderId="1" fillId="0" fontId="8" numFmtId="0" xfId="0" applyAlignment="1" applyBorder="1" applyFont="1">
      <alignment shrinkToFit="0" vertical="center" wrapText="0"/>
    </xf>
    <xf borderId="1" fillId="3" fontId="7" numFmtId="0" xfId="0" applyAlignment="1" applyBorder="1" applyFill="1" applyFont="1">
      <alignment shrinkToFit="0" vertical="center" wrapText="1"/>
    </xf>
    <xf borderId="1" fillId="3" fontId="7" numFmtId="166" xfId="0" applyAlignment="1" applyBorder="1" applyFill="1" applyFont="1" applyNumberFormat="1">
      <alignment shrinkToFit="0" vertical="center" wrapText="0"/>
    </xf>
    <xf borderId="1" fillId="0" fontId="6" numFmtId="165" xfId="0" applyAlignment="1" applyBorder="1" applyFont="1" applyNumberFormat="1">
      <alignment shrinkToFit="0" vertical="center" wrapText="0"/>
    </xf>
    <xf borderId="1" fillId="0" fontId="8" numFmtId="167" xfId="0" applyAlignment="1" applyBorder="1" applyFont="1" applyNumberFormat="1">
      <alignment shrinkToFit="0" vertical="center" wrapText="0"/>
    </xf>
    <xf borderId="1" fillId="3" fontId="7" numFmtId="0" xfId="0" applyAlignment="1" applyBorder="1" applyFill="1" applyFont="1">
      <alignment horizontal="center" shrinkToFit="0" vertical="center" wrapText="0"/>
    </xf>
    <xf borderId="1" fillId="3" fontId="7" numFmtId="168" xfId="0" applyAlignment="1" applyBorder="1" applyFill="1" applyFont="1" applyNumberFormat="1">
      <alignment shrinkToFit="0" vertical="center" wrapText="0"/>
    </xf>
    <xf borderId="1" fillId="0" fontId="6" numFmtId="169" xfId="0" applyAlignment="1" applyBorder="1" applyFont="1" applyNumberFormat="1">
      <alignment shrinkToFit="0" vertical="center" wrapText="0"/>
    </xf>
    <xf borderId="1" fillId="0" fontId="8" numFmtId="165" xfId="0" applyAlignment="1" applyBorder="1" applyFont="1" applyNumberFormat="1">
      <alignment shrinkToFit="0" vertical="center" wrapText="0"/>
    </xf>
    <xf borderId="1" fillId="0" fontId="6" numFmtId="167" xfId="0" applyAlignment="1" applyBorder="1" applyFont="1" applyNumberFormat="1">
      <alignment shrinkToFit="0" vertical="center" wrapText="0"/>
    </xf>
    <xf borderId="1" fillId="0" fontId="6" numFmtId="164" xfId="0" applyAlignment="1" applyBorder="1" applyFont="1" applyNumberFormat="1">
      <alignment shrinkToFit="0" vertical="center" wrapText="0"/>
    </xf>
    <xf borderId="1" fillId="0" fontId="6" numFmtId="1" xfId="0" applyAlignment="1" applyBorder="1" applyFont="1" applyNumberFormat="1">
      <alignment shrinkToFit="0" vertical="center" wrapText="0"/>
    </xf>
    <xf borderId="1" fillId="0" fontId="8" numFmtId="0" xfId="0" applyAlignment="1" applyBorder="1" applyFont="1">
      <alignment horizontal="center" shrinkToFit="0" vertical="center" wrapText="0"/>
    </xf>
    <xf borderId="1" fillId="3" fontId="7" numFmtId="49" xfId="0" applyAlignment="1" applyBorder="1" applyFill="1" applyFont="1" applyNumberFormat="1">
      <alignment horizontal="center" shrinkToFit="0" vertical="center" wrapText="0"/>
    </xf>
    <xf borderId="1" fillId="0" fontId="6" numFmtId="0" xfId="0" applyAlignment="1" applyBorder="1" applyFont="1">
      <alignment horizontal="center" shrinkToFit="0" vertical="center" wrapText="1"/>
    </xf>
    <xf borderId="3" fillId="0" fontId="8" numFmtId="0" xfId="0" applyAlignment="1" applyBorder="1" applyFont="1">
      <alignment shrinkToFit="0" vertical="center" wrapText="1"/>
    </xf>
    <xf borderId="4" fillId="0" fontId="9" numFmtId="0" xfId="0" applyBorder="1" applyFont="1"/>
    <xf borderId="5" fillId="0" fontId="9" numFmtId="0" xfId="0" applyBorder="1" applyFont="1"/>
    <xf borderId="1" fillId="3" fontId="7" numFmtId="1" xfId="0" applyAlignment="1" applyBorder="1" applyFill="1" applyFont="1" applyNumberFormat="1">
      <alignment shrinkToFit="0" vertical="center" wrapText="0"/>
    </xf>
    <xf borderId="1" fillId="6" fontId="8" numFmtId="165" xfId="0" applyAlignment="1" applyBorder="1" applyFill="1" applyFont="1" applyNumberFormat="1">
      <alignment shrinkToFit="0" vertical="center" wrapText="0"/>
    </xf>
    <xf borderId="1" fillId="6" fontId="8" numFmtId="167" xfId="0" applyAlignment="1" applyBorder="1" applyFill="1" applyFont="1" applyNumberFormat="1">
      <alignment shrinkToFit="0" vertical="center" wrapText="0"/>
    </xf>
    <xf borderId="3" fillId="2" fontId="4" numFmtId="0" xfId="0" applyAlignment="1" applyBorder="1" applyFill="1" applyFont="1">
      <alignment horizontal="center" shrinkToFit="0" vertical="center" wrapText="1"/>
    </xf>
    <xf borderId="1" fillId="6" fontId="5" numFmtId="165" xfId="0" applyAlignment="1" applyBorder="1" applyFill="1" applyFont="1" applyNumberFormat="1">
      <alignment shrinkToFit="0" vertical="center" wrapText="0"/>
    </xf>
    <xf borderId="3" fillId="0" fontId="6" numFmtId="0" xfId="0" applyAlignment="1" applyBorder="1" applyFont="1">
      <alignment shrinkToFit="0" vertical="center" wrapText="1"/>
    </xf>
    <xf borderId="1" fillId="0" fontId="8" numFmtId="0" xfId="0" applyAlignment="1" applyBorder="1" applyFont="1">
      <alignment shrinkToFit="0" vertical="center" wrapText="1"/>
    </xf>
    <xf borderId="1" fillId="6" fontId="8" numFmtId="0" xfId="0" applyAlignment="1" applyBorder="1" applyFill="1" applyFont="1">
      <alignment horizontal="center" shrinkToFit="0" vertical="center" wrapText="0"/>
    </xf>
    <xf borderId="1" fillId="4" fontId="7" numFmtId="165" xfId="0" applyAlignment="1" applyBorder="1" applyFill="1" applyFont="1" applyNumberFormat="1">
      <alignment shrinkToFit="0" vertical="center" wrapText="0"/>
    </xf>
    <xf borderId="1" fillId="4" fontId="7" numFmtId="0" xfId="0" applyAlignment="1" applyBorder="1" applyFill="1" applyFont="1">
      <alignment shrinkToFit="0" vertical="center" wrapText="1"/>
    </xf>
    <xf borderId="1" fillId="4" fontId="7" numFmtId="0" xfId="0" applyAlignment="1" applyBorder="1" applyFill="1" applyFont="1">
      <alignment shrinkToFit="0" vertical="center" wrapText="0"/>
    </xf>
    <xf borderId="1" fillId="4" fontId="7" numFmtId="164" xfId="0" applyAlignment="1" applyBorder="1" applyFill="1" applyFont="1" applyNumberFormat="1">
      <alignment shrinkToFit="0" vertical="center" wrapText="0"/>
    </xf>
    <xf borderId="1" fillId="0" fontId="10" numFmtId="0" xfId="0" applyAlignment="1" applyBorder="1" applyFont="1">
      <alignment shrinkToFit="0" vertical="center" wrapText="0"/>
    </xf>
    <xf borderId="1" fillId="0" fontId="6" numFmtId="49" xfId="0" applyAlignment="1" applyBorder="1" applyFont="1" applyNumberFormat="1">
      <alignment shrinkToFit="0" vertical="center" wrapText="0"/>
    </xf>
    <xf borderId="0" fillId="0" fontId="11" numFmtId="0" xfId="0" applyAlignment="1" applyFont="1">
      <alignment horizontal="center" shrinkToFit="0" vertical="center" wrapText="0"/>
    </xf>
    <xf borderId="0" fillId="0" fontId="12" numFmtId="0" xfId="0" applyAlignment="1" applyFont="1">
      <alignment horizontal="center" shrinkToFit="0" vertical="center" wrapText="0"/>
    </xf>
    <xf borderId="0" fillId="0" fontId="13" numFmtId="0" xfId="0" applyAlignment="1" applyFont="1">
      <alignment horizontal="center" shrinkToFit="0" vertical="center" wrapText="0"/>
    </xf>
    <xf borderId="0" fillId="0" fontId="14" numFmtId="0" xfId="0" applyAlignment="1" applyFont="1">
      <alignment horizontal="left" shrinkToFit="0" vertical="center" wrapText="0"/>
    </xf>
    <xf borderId="0" fillId="0" fontId="14" numFmtId="0" xfId="0" applyAlignment="1" applyFont="1">
      <alignment horizontal="center" shrinkToFit="0" vertical="center" wrapText="0"/>
    </xf>
    <xf borderId="0" fillId="0" fontId="14" numFmtId="0" xfId="0" applyAlignment="1" applyFont="1">
      <alignment horizontal="left" shrinkToFit="0" vertical="center" wrapText="1"/>
    </xf>
    <xf borderId="0" fillId="0" fontId="13" numFmtId="0" xfId="0" applyAlignment="1" applyFont="1">
      <alignment horizontal="left" shrinkToFit="0" vertical="center" wrapText="0"/>
    </xf>
    <xf borderId="6" fillId="0" fontId="14" numFmtId="0" xfId="0" applyAlignment="1" applyBorder="1" applyFont="1">
      <alignment horizontal="left" shrinkToFit="0" vertical="center" wrapText="0"/>
    </xf>
    <xf borderId="6" fillId="0" fontId="9" numFmtId="0" xfId="0" applyBorder="1" applyFont="1"/>
    <xf borderId="6" fillId="0" fontId="14" numFmtId="165" xfId="0" applyAlignment="1" applyBorder="1" applyFont="1" applyNumberFormat="1">
      <alignment horizontal="right" shrinkToFit="0" vertical="center" wrapText="0"/>
    </xf>
    <xf borderId="6" fillId="0" fontId="14" numFmtId="0" xfId="0" applyAlignment="1" applyBorder="1" applyFont="1">
      <alignment horizontal="right" shrinkToFit="0" vertical="center" wrapText="0"/>
    </xf>
    <xf borderId="0" fillId="0" fontId="15" numFmtId="0" xfId="0" applyAlignment="1" applyFont="1">
      <alignment horizontal="left" shrinkToFit="0" vertical="center" wrapText="1"/>
    </xf>
    <xf borderId="0" fillId="0" fontId="13" numFmtId="0" xfId="0" applyAlignment="1" applyFont="1">
      <alignment horizontal="center" shrinkToFit="0" vertical="center" wrapText="1"/>
    </xf>
    <xf borderId="0" fillId="0" fontId="16" numFmtId="0" xfId="0" applyAlignment="1" applyFont="1">
      <alignment horizontal="center" shrinkToFit="0" vertical="center" wrapText="0"/>
    </xf>
    <xf borderId="0" fillId="0" fontId="17" numFmtId="0" xfId="0" applyAlignment="1" applyFont="1">
      <alignment horizontal="center" shrinkToFit="0" vertical="center" wrapText="1"/>
    </xf>
    <xf borderId="1" fillId="0" fontId="5" numFmtId="165" xfId="0" applyAlignment="1" applyBorder="1" applyFont="1" applyNumberFormat="1">
      <alignment shrinkToFit="0" vertical="center" wrapText="0"/>
    </xf>
    <xf borderId="1" fillId="0" fontId="5" numFmtId="1" xfId="0" applyAlignment="1" applyBorder="1" applyFont="1" applyNumberFormat="1">
      <alignment shrinkToFit="0" vertical="center" wrapText="0"/>
    </xf>
    <xf borderId="1" fillId="4" fontId="5" numFmtId="167" xfId="0" applyAlignment="1" applyBorder="1" applyFill="1" applyFont="1" applyNumberFormat="1">
      <alignment shrinkToFit="0" vertical="center" wrapText="0"/>
    </xf>
    <xf borderId="1" fillId="0" fontId="5" numFmtId="0" xfId="0" applyAlignment="1" applyBorder="1" applyFont="1">
      <alignment shrinkToFit="0" vertical="center" wrapText="0"/>
    </xf>
    <xf borderId="1" fillId="4" fontId="7" numFmtId="167" xfId="0" applyAlignment="1" applyBorder="1" applyFill="1" applyFont="1" applyNumberFormat="1">
      <alignment shrinkToFit="0" vertical="center" wrapText="0"/>
    </xf>
    <xf borderId="1" fillId="6" fontId="8" numFmtId="170" xfId="0" applyAlignment="1" applyBorder="1" applyFill="1" applyFont="1" applyNumberFormat="1">
      <alignment shrinkToFit="0" vertical="center" wrapText="0"/>
    </xf>
  </cellXfs>
  <cellStyles count="1">
    <cellStyle xfId="0" name="Normal" builtinId="0"/>
  </cellStyles>
  <dxfs count="2">
    <dxf>
      <font/>
      <fill>
        <patternFill patternType="solid">
          <fgColor rgb="FFF8CBAD"/>
          <bgColor rgb="FFF8CBAD"/>
        </patternFill>
      </fill>
      <border/>
    </dxf>
    <dxf>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4.0"/>
    <col customWidth="1" min="2" max="2" width="120.0"/>
    <col customWidth="1" min="3" max="26" width="8.71"/>
  </cols>
  <sheetData>
    <row r="1">
      <c r="A1" s="1" t="s">
        <v>1</v>
      </c>
    </row>
    <row r="2">
      <c r="A2" s="2" t="s">
        <v>3</v>
      </c>
    </row>
    <row r="4">
      <c r="A4" s="3" t="s">
        <v>4</v>
      </c>
    </row>
    <row r="5">
      <c r="A5" s="5" t="s">
        <v>6</v>
      </c>
      <c r="B5" s="7" t="s">
        <v>9</v>
      </c>
    </row>
    <row r="6">
      <c r="A6" s="9" t="s">
        <v>11</v>
      </c>
      <c r="B6" s="7" t="s">
        <v>16</v>
      </c>
    </row>
    <row r="7">
      <c r="A7" s="10" t="s">
        <v>19</v>
      </c>
      <c r="B7" s="7" t="s">
        <v>21</v>
      </c>
    </row>
    <row r="8">
      <c r="A8" s="11" t="s">
        <v>25</v>
      </c>
      <c r="B8" s="7" t="s">
        <v>31</v>
      </c>
    </row>
    <row r="9">
      <c r="A9" s="3"/>
    </row>
    <row r="10">
      <c r="A10" s="3" t="s">
        <v>35</v>
      </c>
    </row>
    <row r="11">
      <c r="A11" s="10" t="s">
        <v>36</v>
      </c>
      <c r="B11" s="7" t="s">
        <v>37</v>
      </c>
    </row>
    <row r="12">
      <c r="A12" s="10" t="s">
        <v>38</v>
      </c>
      <c r="B12" s="7" t="s">
        <v>39</v>
      </c>
    </row>
    <row r="13">
      <c r="A13" s="10" t="s">
        <v>40</v>
      </c>
      <c r="B13" s="7" t="s">
        <v>41</v>
      </c>
    </row>
    <row r="14">
      <c r="A14" s="10" t="s">
        <v>42</v>
      </c>
      <c r="B14" s="7" t="s">
        <v>43</v>
      </c>
    </row>
    <row r="15">
      <c r="A15" s="10" t="s">
        <v>44</v>
      </c>
      <c r="B15" s="7" t="s">
        <v>45</v>
      </c>
    </row>
    <row r="16">
      <c r="A16" s="10" t="s">
        <v>46</v>
      </c>
      <c r="B16" s="7" t="s">
        <v>47</v>
      </c>
    </row>
    <row r="17">
      <c r="A17" s="10" t="s">
        <v>48</v>
      </c>
      <c r="B17" s="7" t="s">
        <v>49</v>
      </c>
    </row>
    <row r="18">
      <c r="A18" s="10" t="s">
        <v>50</v>
      </c>
      <c r="B18" s="7" t="s">
        <v>51</v>
      </c>
    </row>
    <row r="19">
      <c r="A19" s="10" t="s">
        <v>52</v>
      </c>
      <c r="B19" s="7" t="s">
        <v>53</v>
      </c>
    </row>
    <row r="20">
      <c r="A20" s="10" t="s">
        <v>54</v>
      </c>
      <c r="B20" s="7" t="s">
        <v>55</v>
      </c>
    </row>
    <row r="21" ht="15.75" customHeight="1">
      <c r="A21" s="10" t="s">
        <v>56</v>
      </c>
      <c r="B21" s="7" t="s">
        <v>57</v>
      </c>
    </row>
    <row r="22" ht="15.75" customHeight="1">
      <c r="A22" s="3"/>
    </row>
    <row r="23" ht="15.75" customHeight="1">
      <c r="A23" s="3" t="s">
        <v>58</v>
      </c>
    </row>
    <row r="24" ht="15.75" customHeight="1">
      <c r="A24" s="10" t="s">
        <v>59</v>
      </c>
      <c r="B24" s="7" t="s">
        <v>60</v>
      </c>
    </row>
    <row r="25" ht="15.75" customHeight="1">
      <c r="A25" s="10" t="s">
        <v>61</v>
      </c>
      <c r="B25" s="7" t="s">
        <v>62</v>
      </c>
    </row>
    <row r="26" ht="15.75" customHeight="1">
      <c r="A26" s="10" t="s">
        <v>63</v>
      </c>
      <c r="B26" s="7" t="s">
        <v>64</v>
      </c>
    </row>
    <row r="27" ht="15.75" customHeight="1">
      <c r="A27" s="10" t="s">
        <v>65</v>
      </c>
      <c r="B27" s="7" t="s">
        <v>66</v>
      </c>
    </row>
    <row r="28" ht="15.75" customHeight="1">
      <c r="A28" s="3"/>
    </row>
    <row r="29" ht="15.75" customHeight="1">
      <c r="A29" s="3" t="s">
        <v>67</v>
      </c>
    </row>
    <row r="30" ht="15.75" customHeight="1">
      <c r="A30" s="10" t="s">
        <v>68</v>
      </c>
      <c r="B30" s="7" t="s">
        <v>69</v>
      </c>
    </row>
    <row r="31" ht="15.75" customHeight="1">
      <c r="A31" s="10" t="s">
        <v>71</v>
      </c>
      <c r="B31" s="7" t="s">
        <v>73</v>
      </c>
    </row>
    <row r="32" ht="15.75" customHeight="1">
      <c r="A32" s="10" t="s">
        <v>74</v>
      </c>
      <c r="B32" s="7" t="s">
        <v>75</v>
      </c>
    </row>
    <row r="33" ht="15.75" customHeight="1">
      <c r="A33" s="10" t="s">
        <v>76</v>
      </c>
      <c r="B33" s="7" t="s">
        <v>77</v>
      </c>
    </row>
    <row r="34" ht="15.75" customHeight="1">
      <c r="A34" s="3"/>
    </row>
    <row r="35" ht="15.75" customHeight="1">
      <c r="A35" s="3" t="s">
        <v>78</v>
      </c>
    </row>
    <row r="36" ht="15.75" customHeight="1">
      <c r="A36" s="10" t="s">
        <v>80</v>
      </c>
      <c r="B36" s="7" t="s">
        <v>81</v>
      </c>
    </row>
    <row r="37" ht="15.75" customHeight="1">
      <c r="A37" s="10" t="s">
        <v>82</v>
      </c>
      <c r="B37" s="7" t="s">
        <v>83</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6.0"/>
    <col customWidth="1" min="2" max="2" width="42.0"/>
    <col customWidth="1" min="3" max="3" width="16.0"/>
    <col customWidth="1" min="4" max="4" width="24.0"/>
    <col customWidth="1" min="5" max="5" width="26.0"/>
    <col customWidth="1" min="6" max="6" width="18.0"/>
    <col customWidth="1" min="7" max="26" width="8.71"/>
  </cols>
  <sheetData>
    <row r="1">
      <c r="A1" s="1" t="s">
        <v>0</v>
      </c>
    </row>
    <row r="2">
      <c r="A2" s="2" t="s">
        <v>2</v>
      </c>
    </row>
    <row r="4" ht="36.0" customHeight="1">
      <c r="A4" s="4" t="s">
        <v>5</v>
      </c>
      <c r="B4" s="4" t="s">
        <v>7</v>
      </c>
    </row>
    <row r="5">
      <c r="A5" s="6" t="s">
        <v>8</v>
      </c>
      <c r="B5" s="8" t="s">
        <v>10</v>
      </c>
    </row>
    <row r="6">
      <c r="A6" s="6" t="s">
        <v>12</v>
      </c>
      <c r="B6" s="8" t="s">
        <v>13</v>
      </c>
    </row>
    <row r="7">
      <c r="A7" s="6" t="s">
        <v>14</v>
      </c>
      <c r="B7" s="8" t="s">
        <v>15</v>
      </c>
    </row>
    <row r="8">
      <c r="A8" s="6" t="s">
        <v>17</v>
      </c>
      <c r="B8" s="8" t="s">
        <v>18</v>
      </c>
    </row>
    <row r="9">
      <c r="A9" s="6" t="s">
        <v>20</v>
      </c>
      <c r="B9" s="8" t="s">
        <v>18</v>
      </c>
    </row>
    <row r="10">
      <c r="A10" s="6" t="s">
        <v>22</v>
      </c>
      <c r="B10" s="8" t="s">
        <v>23</v>
      </c>
    </row>
    <row r="11">
      <c r="A11" s="6" t="s">
        <v>24</v>
      </c>
      <c r="B11" s="8" t="s">
        <v>26</v>
      </c>
    </row>
    <row r="12">
      <c r="A12" s="6" t="s">
        <v>27</v>
      </c>
      <c r="B12" s="8" t="s">
        <v>28</v>
      </c>
    </row>
    <row r="13">
      <c r="A13" s="6" t="s">
        <v>29</v>
      </c>
      <c r="B13" s="8" t="s">
        <v>30</v>
      </c>
    </row>
    <row r="14">
      <c r="A14" s="6" t="s">
        <v>32</v>
      </c>
      <c r="B14" s="8" t="s">
        <v>33</v>
      </c>
    </row>
    <row r="15">
      <c r="A15" s="6" t="s">
        <v>34</v>
      </c>
      <c r="B15" s="12">
        <v>46300.0</v>
      </c>
    </row>
    <row r="16">
      <c r="A16" s="6" t="s">
        <v>72</v>
      </c>
      <c r="B16" s="13" t="str">
        <f>IF(B15="","",CHOOSE(WEEKDAY(B15),"Minggu","Senin","Selasa","Rabu","Kamis","Jumat","Sabtu"))</f>
        <v>Senin</v>
      </c>
    </row>
    <row r="17">
      <c r="A17" s="6" t="s">
        <v>105</v>
      </c>
      <c r="B17" s="8">
        <v>1.0</v>
      </c>
    </row>
    <row r="18">
      <c r="A18" s="6" t="s">
        <v>107</v>
      </c>
      <c r="B18" s="8" t="s">
        <v>110</v>
      </c>
    </row>
    <row r="19">
      <c r="A19" s="6" t="s">
        <v>111</v>
      </c>
      <c r="B19" s="8">
        <v>1.0</v>
      </c>
    </row>
    <row r="20">
      <c r="A20" s="6" t="s">
        <v>113</v>
      </c>
      <c r="B20" s="16" t="str">
        <f t="array" ref="B20">IF(AND(INDEX(Ref!$B$34:$B$39,MATCH(B18,Ref!$A$34:$A$39,0))="Ya",B19&gt;=1,B19&lt;=Ref!$B$10),"Ya","Tidak")</f>
        <v>Ya</v>
      </c>
    </row>
    <row r="21" ht="15.75" customHeight="1">
      <c r="A21" s="6" t="s">
        <v>127</v>
      </c>
      <c r="B21" s="20">
        <f t="array" ref="B21">IFERROR(INDEX(Ref!$C$64:$C$213,MATCH(B10,Ref!$B$64:$B$213,0)),1)</f>
        <v>1.05</v>
      </c>
    </row>
    <row r="22" ht="15.75" customHeight="1">
      <c r="A22" s="6" t="s">
        <v>132</v>
      </c>
      <c r="B22" s="6" t="str">
        <f t="array" ref="B22">IFERROR(INDEX(Ref!$D$64:$D$213,MATCH(B10,Ref!$B$64:$B$213,0)),"Belum tercantum di Ref: dipakai 100%")</f>
        <v>CONTOH: diganti dengan indeks resmi yang ditetapkan</v>
      </c>
    </row>
    <row r="23" ht="15.75" customHeight="1"/>
    <row r="24" ht="36.0" customHeight="1">
      <c r="A24" s="4" t="s">
        <v>139</v>
      </c>
      <c r="B24" s="4" t="s">
        <v>7</v>
      </c>
    </row>
    <row r="25" ht="15.75" customHeight="1">
      <c r="A25" s="6" t="s">
        <v>140</v>
      </c>
      <c r="B25" s="12">
        <v>46301.0</v>
      </c>
    </row>
    <row r="26" ht="15.75" customHeight="1">
      <c r="A26" s="6" t="s">
        <v>141</v>
      </c>
      <c r="B26" s="22">
        <v>0.229166666666667</v>
      </c>
    </row>
    <row r="27" ht="15.75" customHeight="1">
      <c r="A27" s="6" t="s">
        <v>142</v>
      </c>
      <c r="B27" s="23">
        <f>B15+1+TIME(Ref!$B$11,0,0)</f>
        <v>46301.25</v>
      </c>
    </row>
    <row r="28" ht="15.75" customHeight="1">
      <c r="A28" s="6" t="s">
        <v>145</v>
      </c>
      <c r="B28" s="16" t="str">
        <f>IF(OR(B25="",B26=""),"Belum diunggah",IF(B25+B26&lt;=B27,"Ya","Terlambat"))</f>
        <v>Ya</v>
      </c>
    </row>
    <row r="29" ht="15.75" customHeight="1">
      <c r="A29" s="6" t="s">
        <v>153</v>
      </c>
      <c r="B29" s="6" t="str">
        <f>B6&amp;"_"&amp;B7&amp;"_LPDH_"&amp;TEXT(B15,"yyyymmdd")</f>
        <v>18.71.XX.XXXX_SPPG Contoh 1_LPDH_20261005</v>
      </c>
    </row>
    <row r="30" ht="15.75" customHeight="1"/>
    <row r="31" ht="36.0" customHeight="1">
      <c r="A31" s="4" t="s">
        <v>155</v>
      </c>
      <c r="B31" s="4" t="s">
        <v>156</v>
      </c>
    </row>
    <row r="32" ht="15.75" customHeight="1">
      <c r="A32" s="6" t="s">
        <v>157</v>
      </c>
      <c r="B32" s="26">
        <f>B15-Ref!$B$13</f>
        <v>46299</v>
      </c>
    </row>
    <row r="33" ht="15.75" customHeight="1">
      <c r="A33" s="6" t="s">
        <v>167</v>
      </c>
      <c r="B33" s="26">
        <f>B15</f>
        <v>46300</v>
      </c>
    </row>
    <row r="34" ht="15.75" customHeight="1"/>
    <row r="35" ht="36.0" customHeight="1">
      <c r="A35" s="4" t="s">
        <v>169</v>
      </c>
      <c r="B35" s="4" t="s">
        <v>170</v>
      </c>
      <c r="C35" s="4" t="s">
        <v>171</v>
      </c>
      <c r="D35" s="4" t="s">
        <v>172</v>
      </c>
      <c r="E35" s="4" t="s">
        <v>173</v>
      </c>
      <c r="F35" s="4" t="s">
        <v>175</v>
      </c>
    </row>
    <row r="36" ht="15.75" customHeight="1">
      <c r="A36" s="6" t="s">
        <v>176</v>
      </c>
      <c r="B36" s="8" t="s">
        <v>177</v>
      </c>
      <c r="C36" s="28" t="s">
        <v>178</v>
      </c>
      <c r="D36" s="29" t="s">
        <v>181</v>
      </c>
      <c r="E36" s="30" t="str">
        <f>IF(D36="","BELUM DIISI",IF(AND(LEN(D36)=16,ISNUMBER(--D36)),"Valid","PERIKSA: NIK harus 16 digit angka"))</f>
        <v>Valid</v>
      </c>
      <c r="F36" s="21" t="s">
        <v>133</v>
      </c>
    </row>
    <row r="37" ht="15.75" customHeight="1">
      <c r="A37" s="6" t="s">
        <v>189</v>
      </c>
      <c r="B37" s="8" t="s">
        <v>190</v>
      </c>
      <c r="C37" s="28" t="s">
        <v>191</v>
      </c>
      <c r="D37" s="29" t="s">
        <v>193</v>
      </c>
      <c r="E37" s="30" t="str">
        <f>IF(D37="","BELUM DIISI",IF(AND(LEN(D37)=18,ISNUMBER(--D37)),"Valid","PERIKSA: NIP harus 18 digit angka"))</f>
        <v>Valid</v>
      </c>
      <c r="F37" s="21" t="s">
        <v>133</v>
      </c>
    </row>
    <row r="38" ht="15.75" customHeight="1">
      <c r="A38" s="6" t="s">
        <v>200</v>
      </c>
      <c r="B38" s="8" t="s">
        <v>201</v>
      </c>
      <c r="C38" s="28" t="s">
        <v>178</v>
      </c>
      <c r="D38" s="29" t="s">
        <v>202</v>
      </c>
      <c r="E38" s="30" t="str">
        <f>IF(D38="","BELUM DIISI",IF(AND(LEN(D38)=16,ISNUMBER(--D38)),"Valid","PERIKSA: NIK harus 16 digit angka"))</f>
        <v>Valid</v>
      </c>
      <c r="F38" s="21" t="s">
        <v>133</v>
      </c>
    </row>
    <row r="39" ht="15.75" customHeight="1">
      <c r="A39" s="2" t="s">
        <v>206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InputMessage="1" showErrorMessage="1" prompt="NIP tidak valid - NIP diisi 18 digit angka tanpa spasi atau tanda baca." sqref="D37">
      <formula1>OR(D37="",AND(LEN(D37)=18,ISNUMBER(--D37)))</formula1>
    </dataValidation>
    <dataValidation type="list" allowBlank="1" sqref="F36:F38">
      <formula1>"Ya,Tidak"</formula1>
    </dataValidation>
    <dataValidation type="list" allowBlank="1" sqref="B18">
      <formula1>Ref!$A$34:$A$39</formula1>
    </dataValidation>
    <dataValidation type="custom" allowBlank="1" showInputMessage="1" showErrorMessage="1" prompt="NIK tidak valid - NIK diisi 16 digit angka tanpa spasi atau tanda baca." sqref="D36 D38">
      <formula1>OR(D36="",AND(LEN(D36)=16,ISNUMBER(--D36)))</formula1>
    </dataValidation>
  </dataValidation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9.0"/>
    <col customWidth="1" min="2" max="2" width="30.0"/>
    <col customWidth="1" min="3" max="3" width="14.0"/>
    <col customWidth="1" min="4" max="4" width="10.0"/>
    <col customWidth="1" min="5" max="5" width="11.0"/>
    <col customWidth="1" min="6" max="7" width="13.0"/>
    <col customWidth="1" min="8" max="8" width="11.0"/>
    <col customWidth="1" min="9" max="9" width="26.0"/>
    <col customWidth="1" min="10" max="11" width="10.0"/>
    <col customWidth="1" min="12" max="12" width="14.0"/>
    <col customWidth="1" min="13" max="13" width="40.0"/>
    <col customWidth="1" min="14" max="14" width="15.0"/>
    <col customWidth="1" min="15" max="15" width="11.0"/>
    <col customWidth="1" min="16" max="16" width="10.0"/>
    <col customWidth="1" min="17" max="17" width="14.0"/>
    <col customWidth="1" min="18" max="18" width="28.0"/>
    <col customWidth="1" min="19" max="26" width="8.71"/>
  </cols>
  <sheetData>
    <row r="1">
      <c r="A1" s="1" t="s">
        <v>84</v>
      </c>
    </row>
    <row r="2">
      <c r="A2" s="2" t="s">
        <v>88</v>
      </c>
    </row>
    <row r="5" ht="36.0" customHeight="1">
      <c r="A5" s="4" t="s">
        <v>96</v>
      </c>
      <c r="B5" s="4" t="s">
        <v>100</v>
      </c>
      <c r="C5" s="4" t="s">
        <v>103</v>
      </c>
      <c r="D5" s="4" t="s">
        <v>104</v>
      </c>
      <c r="E5" s="4" t="s">
        <v>106</v>
      </c>
      <c r="F5" s="4" t="s">
        <v>108</v>
      </c>
      <c r="G5" s="4" t="s">
        <v>109</v>
      </c>
      <c r="H5" s="4" t="s">
        <v>112</v>
      </c>
      <c r="I5" s="4" t="s">
        <v>114</v>
      </c>
      <c r="J5" s="4" t="s">
        <v>115</v>
      </c>
      <c r="K5" s="4" t="s">
        <v>116</v>
      </c>
      <c r="L5" s="4" t="s">
        <v>117</v>
      </c>
      <c r="M5" s="4" t="s">
        <v>118</v>
      </c>
      <c r="N5" s="4" t="s">
        <v>119</v>
      </c>
      <c r="O5" s="4" t="s">
        <v>120</v>
      </c>
      <c r="P5" s="4" t="s">
        <v>121</v>
      </c>
      <c r="Q5" s="4" t="s">
        <v>122</v>
      </c>
      <c r="R5" s="4" t="s">
        <v>102</v>
      </c>
    </row>
    <row r="6">
      <c r="A6" s="6" t="s">
        <v>123</v>
      </c>
      <c r="B6" s="6" t="s">
        <v>124</v>
      </c>
      <c r="C6" s="6" t="s">
        <v>125</v>
      </c>
      <c r="D6" s="6" t="s">
        <v>126</v>
      </c>
      <c r="E6" s="15">
        <v>210.0</v>
      </c>
      <c r="F6" s="15">
        <v>210.0</v>
      </c>
      <c r="G6" s="15">
        <v>205.0</v>
      </c>
      <c r="H6" s="15">
        <v>5.0</v>
      </c>
      <c r="I6" s="17" t="s">
        <v>128</v>
      </c>
      <c r="J6" s="19">
        <f t="shared" ref="J6:J15" si="1">F6-G6-H6</f>
        <v>0</v>
      </c>
      <c r="K6" s="21" t="s">
        <v>133</v>
      </c>
      <c r="L6" s="8" t="s">
        <v>134</v>
      </c>
      <c r="M6" s="8" t="s">
        <v>135</v>
      </c>
      <c r="N6" s="14" t="str">
        <f t="shared" ref="N6:N15" si="2">IF(N(G6)=0,"",IF(AND(L6&lt;&gt;"",LEFT(M6,8)="https://"),"Terlampir","BELUM ADA LINK"))</f>
        <v>Terlampir</v>
      </c>
      <c r="O6" s="24">
        <f>IF(AND(Identitas!$B$20="Ya",K6="Ya",N6="Terlampir"),G6,0)</f>
        <v>205</v>
      </c>
      <c r="P6" s="25">
        <f t="shared" ref="P6:P15" si="3">IF(N(E6)&gt;0,O6/E6,"")</f>
        <v>0.9761904762</v>
      </c>
      <c r="Q6" s="19">
        <f t="array" ref="Q6">INDEX(Ref!$D$19:$D$28,MATCH(A6,Ref!$A$19:$A$28,0))*IF(Ref!$B$14="Ya",Identitas!$B$21,1)</f>
        <v>8400</v>
      </c>
      <c r="R6" s="17"/>
    </row>
    <row r="7">
      <c r="A7" s="6" t="s">
        <v>165</v>
      </c>
      <c r="B7" s="6" t="s">
        <v>168</v>
      </c>
      <c r="C7" s="6" t="s">
        <v>125</v>
      </c>
      <c r="D7" s="6" t="s">
        <v>126</v>
      </c>
      <c r="E7" s="15">
        <v>650.0</v>
      </c>
      <c r="F7" s="15">
        <v>650.0</v>
      </c>
      <c r="G7" s="15">
        <v>640.0</v>
      </c>
      <c r="H7" s="15">
        <v>10.0</v>
      </c>
      <c r="I7" s="17" t="s">
        <v>174</v>
      </c>
      <c r="J7" s="19">
        <f t="shared" si="1"/>
        <v>0</v>
      </c>
      <c r="K7" s="21" t="s">
        <v>133</v>
      </c>
      <c r="L7" s="8" t="s">
        <v>179</v>
      </c>
      <c r="M7" s="8" t="s">
        <v>180</v>
      </c>
      <c r="N7" s="14" t="str">
        <f t="shared" si="2"/>
        <v>Terlampir</v>
      </c>
      <c r="O7" s="24">
        <f>IF(AND(Identitas!$B$20="Ya",K7="Ya",N7="Terlampir"),G7,0)</f>
        <v>640</v>
      </c>
      <c r="P7" s="25">
        <f t="shared" si="3"/>
        <v>0.9846153846</v>
      </c>
      <c r="Q7" s="19">
        <f t="array" ref="Q7">INDEX(Ref!$D$19:$D$28,MATCH(A7,Ref!$A$19:$A$28,0))*IF(Ref!$B$14="Ya",Identitas!$B$21,1)</f>
        <v>8400</v>
      </c>
      <c r="R7" s="17"/>
    </row>
    <row r="8">
      <c r="A8" s="6" t="s">
        <v>192</v>
      </c>
      <c r="B8" s="6" t="s">
        <v>194</v>
      </c>
      <c r="C8" s="6" t="s">
        <v>195</v>
      </c>
      <c r="D8" s="6" t="s">
        <v>126</v>
      </c>
      <c r="E8" s="15">
        <v>600.0</v>
      </c>
      <c r="F8" s="15">
        <v>600.0</v>
      </c>
      <c r="G8" s="15">
        <v>592.0</v>
      </c>
      <c r="H8" s="15">
        <v>8.0</v>
      </c>
      <c r="I8" s="17" t="s">
        <v>128</v>
      </c>
      <c r="J8" s="19">
        <f t="shared" si="1"/>
        <v>0</v>
      </c>
      <c r="K8" s="21" t="s">
        <v>133</v>
      </c>
      <c r="L8" s="8" t="s">
        <v>196</v>
      </c>
      <c r="M8" s="8" t="s">
        <v>197</v>
      </c>
      <c r="N8" s="14" t="str">
        <f t="shared" si="2"/>
        <v>Terlampir</v>
      </c>
      <c r="O8" s="24">
        <f>IF(AND(Identitas!$B$20="Ya",K8="Ya",N8="Terlampir"),G8,0)</f>
        <v>592</v>
      </c>
      <c r="P8" s="25">
        <f t="shared" si="3"/>
        <v>0.9866666667</v>
      </c>
      <c r="Q8" s="19">
        <f t="array" ref="Q8">INDEX(Ref!$D$19:$D$28,MATCH(A8,Ref!$A$19:$A$28,0))*IF(Ref!$B$14="Ya",Identitas!$B$21,1)</f>
        <v>10500</v>
      </c>
      <c r="R8" s="17"/>
    </row>
    <row r="9">
      <c r="A9" s="6" t="s">
        <v>207</v>
      </c>
      <c r="B9" s="6" t="s">
        <v>208</v>
      </c>
      <c r="C9" s="6" t="s">
        <v>195</v>
      </c>
      <c r="D9" s="6" t="s">
        <v>126</v>
      </c>
      <c r="E9" s="15">
        <v>520.0</v>
      </c>
      <c r="F9" s="15">
        <v>520.0</v>
      </c>
      <c r="G9" s="15">
        <v>515.0</v>
      </c>
      <c r="H9" s="15">
        <v>5.0</v>
      </c>
      <c r="I9" s="17" t="s">
        <v>128</v>
      </c>
      <c r="J9" s="19">
        <f t="shared" si="1"/>
        <v>0</v>
      </c>
      <c r="K9" s="21" t="s">
        <v>133</v>
      </c>
      <c r="L9" s="8" t="s">
        <v>209</v>
      </c>
      <c r="M9" s="8" t="s">
        <v>210</v>
      </c>
      <c r="N9" s="14" t="str">
        <f t="shared" si="2"/>
        <v>Terlampir</v>
      </c>
      <c r="O9" s="24">
        <f>IF(AND(Identitas!$B$20="Ya",K9="Ya",N9="Terlampir"),G9,0)</f>
        <v>515</v>
      </c>
      <c r="P9" s="25">
        <f t="shared" si="3"/>
        <v>0.9903846154</v>
      </c>
      <c r="Q9" s="19">
        <f t="array" ref="Q9">INDEX(Ref!$D$19:$D$28,MATCH(A9,Ref!$A$19:$A$28,0))*IF(Ref!$B$14="Ya",Identitas!$B$21,1)</f>
        <v>10500</v>
      </c>
      <c r="R9" s="17"/>
    </row>
    <row r="10">
      <c r="A10" s="6" t="s">
        <v>220</v>
      </c>
      <c r="B10" s="6" t="s">
        <v>221</v>
      </c>
      <c r="C10" s="6" t="s">
        <v>195</v>
      </c>
      <c r="D10" s="6" t="s">
        <v>126</v>
      </c>
      <c r="E10" s="15">
        <v>0.0</v>
      </c>
      <c r="F10" s="15">
        <v>0.0</v>
      </c>
      <c r="G10" s="15">
        <v>0.0</v>
      </c>
      <c r="H10" s="15">
        <v>0.0</v>
      </c>
      <c r="I10" s="17"/>
      <c r="J10" s="19">
        <f t="shared" si="1"/>
        <v>0</v>
      </c>
      <c r="K10" s="21"/>
      <c r="L10" s="8"/>
      <c r="M10" s="8"/>
      <c r="N10" s="14" t="str">
        <f t="shared" si="2"/>
        <v/>
      </c>
      <c r="O10" s="24">
        <f>IF(AND(Identitas!$B$20="Ya",K10="Ya",N10="Terlampir"),G10,0)</f>
        <v>0</v>
      </c>
      <c r="P10" s="25" t="str">
        <f t="shared" si="3"/>
        <v/>
      </c>
      <c r="Q10" s="19">
        <f t="array" ref="Q10">INDEX(Ref!$D$19:$D$28,MATCH(A10,Ref!$A$19:$A$28,0))*IF(Ref!$B$14="Ya",Identitas!$B$21,1)</f>
        <v>10500</v>
      </c>
      <c r="R10" s="17"/>
    </row>
    <row r="11">
      <c r="A11" s="6" t="s">
        <v>227</v>
      </c>
      <c r="B11" s="6" t="s">
        <v>229</v>
      </c>
      <c r="C11" s="6" t="s">
        <v>195</v>
      </c>
      <c r="D11" s="6" t="s">
        <v>126</v>
      </c>
      <c r="E11" s="15">
        <v>0.0</v>
      </c>
      <c r="F11" s="15">
        <v>0.0</v>
      </c>
      <c r="G11" s="15">
        <v>0.0</v>
      </c>
      <c r="H11" s="15">
        <v>0.0</v>
      </c>
      <c r="I11" s="17"/>
      <c r="J11" s="19">
        <f t="shared" si="1"/>
        <v>0</v>
      </c>
      <c r="K11" s="21"/>
      <c r="L11" s="8"/>
      <c r="M11" s="8"/>
      <c r="N11" s="14" t="str">
        <f t="shared" si="2"/>
        <v/>
      </c>
      <c r="O11" s="24">
        <f>IF(AND(Identitas!$B$20="Ya",K11="Ya",N11="Terlampir"),G11,0)</f>
        <v>0</v>
      </c>
      <c r="P11" s="25" t="str">
        <f t="shared" si="3"/>
        <v/>
      </c>
      <c r="Q11" s="19">
        <f t="array" ref="Q11">INDEX(Ref!$D$19:$D$28,MATCH(A11,Ref!$A$19:$A$28,0))*IF(Ref!$B$14="Ya",Identitas!$B$21,1)</f>
        <v>10500</v>
      </c>
      <c r="R11" s="17"/>
    </row>
    <row r="12">
      <c r="A12" s="6" t="s">
        <v>237</v>
      </c>
      <c r="B12" s="6" t="s">
        <v>238</v>
      </c>
      <c r="C12" s="6" t="s">
        <v>195</v>
      </c>
      <c r="D12" s="6" t="s">
        <v>239</v>
      </c>
      <c r="E12" s="15">
        <v>35.0</v>
      </c>
      <c r="F12" s="15">
        <v>35.0</v>
      </c>
      <c r="G12" s="15">
        <v>33.0</v>
      </c>
      <c r="H12" s="15">
        <v>2.0</v>
      </c>
      <c r="I12" s="17" t="s">
        <v>128</v>
      </c>
      <c r="J12" s="19">
        <f t="shared" si="1"/>
        <v>0</v>
      </c>
      <c r="K12" s="21" t="s">
        <v>133</v>
      </c>
      <c r="L12" s="8" t="s">
        <v>242</v>
      </c>
      <c r="M12" s="8" t="s">
        <v>243</v>
      </c>
      <c r="N12" s="14" t="str">
        <f t="shared" si="2"/>
        <v>Terlampir</v>
      </c>
      <c r="O12" s="24">
        <f>IF(AND(Identitas!$B$20="Ya",K12="Ya",N12="Terlampir"),G12,0)</f>
        <v>33</v>
      </c>
      <c r="P12" s="25">
        <f t="shared" si="3"/>
        <v>0.9428571429</v>
      </c>
      <c r="Q12" s="19">
        <f t="array" ref="Q12">INDEX(Ref!$D$19:$D$28,MATCH(A12,Ref!$A$19:$A$28,0))*IF(Ref!$B$14="Ya",Identitas!$B$21,1)</f>
        <v>10500</v>
      </c>
      <c r="R12" s="17"/>
    </row>
    <row r="13">
      <c r="A13" s="6" t="s">
        <v>244</v>
      </c>
      <c r="B13" s="6" t="s">
        <v>245</v>
      </c>
      <c r="C13" s="6" t="s">
        <v>195</v>
      </c>
      <c r="D13" s="6" t="s">
        <v>239</v>
      </c>
      <c r="E13" s="15">
        <v>45.0</v>
      </c>
      <c r="F13" s="15">
        <v>45.0</v>
      </c>
      <c r="G13" s="15">
        <v>44.0</v>
      </c>
      <c r="H13" s="15">
        <v>1.0</v>
      </c>
      <c r="I13" s="17" t="s">
        <v>128</v>
      </c>
      <c r="J13" s="19">
        <f t="shared" si="1"/>
        <v>0</v>
      </c>
      <c r="K13" s="21" t="s">
        <v>133</v>
      </c>
      <c r="L13" s="8" t="s">
        <v>246</v>
      </c>
      <c r="M13" s="8" t="s">
        <v>247</v>
      </c>
      <c r="N13" s="14" t="str">
        <f t="shared" si="2"/>
        <v>Terlampir</v>
      </c>
      <c r="O13" s="24">
        <f>IF(AND(Identitas!$B$20="Ya",K13="Ya",N13="Terlampir"),G13,0)</f>
        <v>44</v>
      </c>
      <c r="P13" s="25">
        <f t="shared" si="3"/>
        <v>0.9777777778</v>
      </c>
      <c r="Q13" s="19">
        <f t="array" ref="Q13">INDEX(Ref!$D$19:$D$28,MATCH(A13,Ref!$A$19:$A$28,0))*IF(Ref!$B$14="Ya",Identitas!$B$21,1)</f>
        <v>10500</v>
      </c>
      <c r="R13" s="17"/>
    </row>
    <row r="14">
      <c r="A14" s="6" t="s">
        <v>251</v>
      </c>
      <c r="B14" s="6" t="s">
        <v>252</v>
      </c>
      <c r="C14" s="6" t="s">
        <v>125</v>
      </c>
      <c r="D14" s="6" t="s">
        <v>239</v>
      </c>
      <c r="E14" s="15">
        <v>190.0</v>
      </c>
      <c r="F14" s="15">
        <v>190.0</v>
      </c>
      <c r="G14" s="15">
        <v>186.0</v>
      </c>
      <c r="H14" s="15">
        <v>4.0</v>
      </c>
      <c r="I14" s="17" t="s">
        <v>253</v>
      </c>
      <c r="J14" s="19">
        <f t="shared" si="1"/>
        <v>0</v>
      </c>
      <c r="K14" s="21" t="s">
        <v>133</v>
      </c>
      <c r="L14" s="8" t="s">
        <v>254</v>
      </c>
      <c r="M14" s="8" t="s">
        <v>255</v>
      </c>
      <c r="N14" s="14" t="str">
        <f t="shared" si="2"/>
        <v>Terlampir</v>
      </c>
      <c r="O14" s="24">
        <f>IF(AND(Identitas!$B$20="Ya",K14="Ya",N14="Terlampir"),G14,0)</f>
        <v>186</v>
      </c>
      <c r="P14" s="25">
        <f t="shared" si="3"/>
        <v>0.9789473684</v>
      </c>
      <c r="Q14" s="19">
        <f t="array" ref="Q14">INDEX(Ref!$D$19:$D$28,MATCH(A14,Ref!$A$19:$A$28,0))*IF(Ref!$B$14="Ya",Identitas!$B$21,1)</f>
        <v>8400</v>
      </c>
      <c r="R14" s="17"/>
    </row>
    <row r="15">
      <c r="A15" s="6" t="s">
        <v>260</v>
      </c>
      <c r="B15" s="6" t="s">
        <v>261</v>
      </c>
      <c r="C15" s="6" t="s">
        <v>195</v>
      </c>
      <c r="D15" s="6" t="s">
        <v>126</v>
      </c>
      <c r="E15" s="15">
        <v>120.0</v>
      </c>
      <c r="F15" s="15">
        <v>120.0</v>
      </c>
      <c r="G15" s="15">
        <v>118.0</v>
      </c>
      <c r="H15" s="15">
        <v>2.0</v>
      </c>
      <c r="I15" s="17" t="s">
        <v>128</v>
      </c>
      <c r="J15" s="19">
        <f t="shared" si="1"/>
        <v>0</v>
      </c>
      <c r="K15" s="21" t="s">
        <v>133</v>
      </c>
      <c r="L15" s="8" t="s">
        <v>263</v>
      </c>
      <c r="M15" s="8" t="s">
        <v>265</v>
      </c>
      <c r="N15" s="14" t="str">
        <f t="shared" si="2"/>
        <v>Terlampir</v>
      </c>
      <c r="O15" s="24">
        <f>IF(AND(Identitas!$B$20="Ya",K15="Ya",N15="Terlampir"),G15,0)</f>
        <v>118</v>
      </c>
      <c r="P15" s="25">
        <f t="shared" si="3"/>
        <v>0.9833333333</v>
      </c>
      <c r="Q15" s="19">
        <f t="array" ref="Q15">INDEX(Ref!$D$19:$D$28,MATCH(A15,Ref!$A$19:$A$28,0))*IF(Ref!$B$14="Ya",Identitas!$B$21,1)</f>
        <v>10500</v>
      </c>
      <c r="R15" s="17"/>
    </row>
    <row r="16" ht="15.0" customHeight="1">
      <c r="A16" s="31" t="s">
        <v>280</v>
      </c>
      <c r="B16" s="32"/>
      <c r="C16" s="32"/>
      <c r="D16" s="33"/>
      <c r="E16" s="35">
        <f t="shared" ref="E16:H16" si="4">SUM(E6:E15)</f>
        <v>2370</v>
      </c>
      <c r="F16" s="35">
        <f t="shared" si="4"/>
        <v>2370</v>
      </c>
      <c r="G16" s="35">
        <f t="shared" si="4"/>
        <v>2333</v>
      </c>
      <c r="H16" s="35">
        <f t="shared" si="4"/>
        <v>37</v>
      </c>
      <c r="J16" s="35">
        <f>SUM(J6:J15)</f>
        <v>0</v>
      </c>
      <c r="O16" s="35">
        <f>SUM(O6:O15)</f>
        <v>2333</v>
      </c>
      <c r="P16" s="36">
        <f>IF(E16&gt;0,O16/E16,"")</f>
        <v>0.9843881857</v>
      </c>
      <c r="Q16" s="35">
        <f>IF(F16&gt;0,SUMPRODUCT(F6:F15,Q6:Q15)/F16,0)</f>
        <v>9569.620253</v>
      </c>
      <c r="R16" s="2" t="s">
        <v>288</v>
      </c>
    </row>
    <row r="18" ht="36.0" customHeight="1">
      <c r="A18" s="37" t="s">
        <v>289</v>
      </c>
      <c r="B18" s="33"/>
      <c r="C18" s="4" t="s">
        <v>292</v>
      </c>
      <c r="D18" s="4" t="s">
        <v>293</v>
      </c>
    </row>
    <row r="19" ht="15.0" customHeight="1">
      <c r="A19" s="31" t="s">
        <v>294</v>
      </c>
      <c r="B19" s="33"/>
      <c r="C19" s="38">
        <v>2400.0</v>
      </c>
      <c r="D19" s="39" t="s">
        <v>295</v>
      </c>
      <c r="E19" s="32"/>
      <c r="F19" s="32"/>
      <c r="G19" s="33"/>
    </row>
    <row r="20" ht="15.0" customHeight="1">
      <c r="A20" s="39" t="s">
        <v>296</v>
      </c>
      <c r="B20" s="33"/>
      <c r="C20" s="19">
        <f>F16</f>
        <v>2370</v>
      </c>
      <c r="D20" s="39" t="s">
        <v>298</v>
      </c>
      <c r="E20" s="32"/>
      <c r="F20" s="32"/>
      <c r="G20" s="33"/>
    </row>
    <row r="21" ht="15.0" customHeight="1">
      <c r="A21" s="39" t="s">
        <v>301</v>
      </c>
      <c r="B21" s="33"/>
      <c r="C21" s="15">
        <v>3.0</v>
      </c>
      <c r="D21" s="39" t="s">
        <v>302</v>
      </c>
      <c r="E21" s="32"/>
      <c r="F21" s="32"/>
      <c r="G21" s="33"/>
    </row>
    <row r="22" ht="15.0" customHeight="1">
      <c r="A22" s="39" t="s">
        <v>304</v>
      </c>
      <c r="B22" s="33"/>
      <c r="C22" s="15">
        <v>3.0</v>
      </c>
      <c r="D22" s="39" t="s">
        <v>302</v>
      </c>
      <c r="E22" s="32"/>
      <c r="F22" s="32"/>
      <c r="G22" s="33"/>
    </row>
    <row r="23" ht="15.0" customHeight="1">
      <c r="A23" s="39" t="s">
        <v>307</v>
      </c>
      <c r="B23" s="33"/>
      <c r="C23" s="15">
        <v>4.0</v>
      </c>
      <c r="D23" s="39" t="s">
        <v>308</v>
      </c>
      <c r="E23" s="32"/>
      <c r="F23" s="32"/>
      <c r="G23" s="33"/>
    </row>
    <row r="24" ht="15.0" customHeight="1">
      <c r="A24" s="39" t="s">
        <v>309</v>
      </c>
      <c r="B24" s="33"/>
      <c r="C24" s="15">
        <v>20.0</v>
      </c>
      <c r="D24" s="39" t="s">
        <v>310</v>
      </c>
      <c r="E24" s="32"/>
      <c r="F24" s="32"/>
      <c r="G24" s="33"/>
    </row>
    <row r="25" ht="15.0" customHeight="1">
      <c r="A25" s="31" t="s">
        <v>311</v>
      </c>
      <c r="B25" s="33"/>
      <c r="C25" s="35">
        <f>SUM(C20:C24)</f>
        <v>2400</v>
      </c>
      <c r="D25" s="39"/>
      <c r="E25" s="32"/>
      <c r="F25" s="32"/>
      <c r="G25" s="33"/>
    </row>
    <row r="26" ht="15.0" customHeight="1">
      <c r="A26" s="31" t="s">
        <v>316</v>
      </c>
      <c r="B26" s="33"/>
      <c r="C26" s="35">
        <f>C19-C25</f>
        <v>0</v>
      </c>
      <c r="D26" s="39" t="s">
        <v>317</v>
      </c>
      <c r="E26" s="32"/>
      <c r="F26" s="32"/>
      <c r="G26" s="33"/>
    </row>
    <row r="27" ht="15.0" customHeight="1">
      <c r="A27" s="39" t="s">
        <v>318</v>
      </c>
      <c r="B27" s="33"/>
      <c r="C27" s="25">
        <f>IF(C19&gt;0,C24/C19,0)</f>
        <v>0.008333333333</v>
      </c>
      <c r="D27" s="39" t="s">
        <v>321</v>
      </c>
      <c r="E27" s="32"/>
      <c r="F27" s="32"/>
      <c r="G27" s="33"/>
    </row>
    <row r="28" ht="15.75" customHeight="1"/>
    <row r="29" ht="36.0" customHeight="1">
      <c r="A29" s="37" t="s">
        <v>326</v>
      </c>
      <c r="B29" s="33"/>
      <c r="C29" s="4" t="s">
        <v>292</v>
      </c>
      <c r="D29" s="4" t="s">
        <v>293</v>
      </c>
    </row>
    <row r="30" ht="15.0" customHeight="1">
      <c r="A30" s="39" t="s">
        <v>327</v>
      </c>
      <c r="B30" s="33"/>
      <c r="C30" s="19">
        <f>SUMIF(D6:D15,"Sekolah",G6:G15)</f>
        <v>2070</v>
      </c>
      <c r="D30" s="39" t="s">
        <v>328</v>
      </c>
      <c r="E30" s="32"/>
      <c r="F30" s="32"/>
      <c r="G30" s="33"/>
    </row>
    <row r="31" ht="15.0" customHeight="1">
      <c r="A31" s="39" t="s">
        <v>329</v>
      </c>
      <c r="B31" s="33"/>
      <c r="C31" s="19">
        <f>SUMIF(D6:D15,"3B",G6:G15)</f>
        <v>263</v>
      </c>
      <c r="D31" s="39" t="s">
        <v>331</v>
      </c>
      <c r="E31" s="32"/>
      <c r="F31" s="32"/>
      <c r="G31" s="33"/>
    </row>
    <row r="32" ht="15.0" customHeight="1">
      <c r="A32" s="31" t="s">
        <v>334</v>
      </c>
      <c r="B32" s="33"/>
      <c r="C32" s="35">
        <f>C30+C31</f>
        <v>2333</v>
      </c>
      <c r="D32" s="39"/>
      <c r="E32" s="32"/>
      <c r="F32" s="32"/>
      <c r="G32" s="33"/>
    </row>
    <row r="33" ht="15.0" customHeight="1">
      <c r="A33" s="31" t="s">
        <v>338</v>
      </c>
      <c r="B33" s="33"/>
      <c r="C33" s="35">
        <f>H16</f>
        <v>37</v>
      </c>
      <c r="D33" s="39" t="s">
        <v>339</v>
      </c>
      <c r="E33" s="32"/>
      <c r="F33" s="32"/>
      <c r="G33" s="33"/>
    </row>
    <row r="34" ht="15.0" customHeight="1">
      <c r="A34" s="39" t="s">
        <v>340</v>
      </c>
      <c r="B34" s="33"/>
      <c r="C34" s="19">
        <f>SUMIF(I6:I15,"Kualitas tidak layak/tidak standar",H6:H15)</f>
        <v>10</v>
      </c>
      <c r="D34" s="39" t="s">
        <v>341</v>
      </c>
      <c r="E34" s="32"/>
      <c r="F34" s="32"/>
      <c r="G34" s="33"/>
    </row>
    <row r="35" ht="15.0" customHeight="1">
      <c r="A35" s="39" t="s">
        <v>343</v>
      </c>
      <c r="B35" s="33"/>
      <c r="C35" s="19">
        <f>SUMIF(I6:I15,"Kemasan rusak/tumpah",H6:H15)</f>
        <v>4</v>
      </c>
      <c r="D35" s="39" t="s">
        <v>341</v>
      </c>
      <c r="E35" s="32"/>
      <c r="F35" s="32"/>
      <c r="G35" s="33"/>
    </row>
    <row r="36" ht="15.0" customHeight="1">
      <c r="A36" s="39" t="s">
        <v>347</v>
      </c>
      <c r="B36" s="33"/>
      <c r="C36" s="19">
        <f>SUMIF(I6:I15,"PM tidak hadir",H6:H15)</f>
        <v>23</v>
      </c>
      <c r="D36" s="39" t="s">
        <v>341</v>
      </c>
      <c r="E36" s="32"/>
      <c r="F36" s="32"/>
      <c r="G36" s="33"/>
    </row>
    <row r="37" ht="15.0" customHeight="1">
      <c r="A37" s="39" t="s">
        <v>348</v>
      </c>
      <c r="B37" s="33"/>
      <c r="C37" s="19">
        <f>SUMIF(I6:I15,"Libur/kegiatan mendadak",H6:H15)</f>
        <v>0</v>
      </c>
      <c r="D37" s="39" t="s">
        <v>341</v>
      </c>
      <c r="E37" s="32"/>
      <c r="F37" s="32"/>
      <c r="G37" s="33"/>
    </row>
    <row r="38" ht="15.0" customHeight="1">
      <c r="A38" s="39" t="s">
        <v>350</v>
      </c>
      <c r="B38" s="33"/>
      <c r="C38" s="19">
        <f>SUMIF(I6:I15,"Keterlambatan pengiriman",H6:H15)</f>
        <v>0</v>
      </c>
      <c r="D38" s="39" t="s">
        <v>341</v>
      </c>
      <c r="E38" s="32"/>
      <c r="F38" s="32"/>
      <c r="G38" s="33"/>
    </row>
    <row r="39" ht="15.0" customHeight="1">
      <c r="A39" s="39" t="s">
        <v>354</v>
      </c>
      <c r="B39" s="33"/>
      <c r="C39" s="19">
        <f>SUMIF(I6:I15,"Kelebihan kirim/dikembalikan",H6:H15)</f>
        <v>0</v>
      </c>
      <c r="D39" s="39" t="s">
        <v>341</v>
      </c>
      <c r="E39" s="32"/>
      <c r="F39" s="32"/>
      <c r="G39" s="33"/>
    </row>
    <row r="40" ht="15.0" customHeight="1">
      <c r="A40" s="39" t="s">
        <v>356</v>
      </c>
      <c r="B40" s="33"/>
      <c r="C40" s="19">
        <f>SUMIF(I6:I15,"Lainnya",H6:H15)</f>
        <v>0</v>
      </c>
      <c r="D40" s="39" t="s">
        <v>341</v>
      </c>
      <c r="E40" s="32"/>
      <c r="F40" s="32"/>
      <c r="G40" s="33"/>
    </row>
    <row r="41" ht="15.0" customHeight="1">
      <c r="A41" s="31" t="s">
        <v>357</v>
      </c>
      <c r="B41" s="33"/>
      <c r="C41" s="35">
        <f>C20-(C32+C33)</f>
        <v>0</v>
      </c>
      <c r="D41" s="39" t="s">
        <v>360</v>
      </c>
      <c r="E41" s="32"/>
      <c r="F41" s="32"/>
      <c r="G41" s="33"/>
    </row>
    <row r="42" ht="15.75" customHeight="1"/>
    <row r="43" ht="36.0" customHeight="1">
      <c r="A43" s="37" t="s">
        <v>363</v>
      </c>
      <c r="B43" s="33"/>
      <c r="C43" s="4" t="s">
        <v>292</v>
      </c>
      <c r="D43" s="4" t="s">
        <v>293</v>
      </c>
    </row>
    <row r="44" ht="23.25" customHeight="1">
      <c r="A44" s="39" t="s">
        <v>366</v>
      </c>
      <c r="B44" s="33"/>
      <c r="C44" s="19">
        <f>O16</f>
        <v>2333</v>
      </c>
      <c r="D44" s="39" t="s">
        <v>368</v>
      </c>
      <c r="E44" s="32"/>
      <c r="F44" s="32"/>
      <c r="G44" s="33"/>
    </row>
    <row r="45" ht="15.0" customHeight="1">
      <c r="A45" s="39" t="s">
        <v>369</v>
      </c>
      <c r="B45" s="33"/>
      <c r="C45" s="19">
        <f>IF(Identitas!$B$20="Ya",C21,0)</f>
        <v>3</v>
      </c>
      <c r="D45" s="39" t="s">
        <v>371</v>
      </c>
      <c r="E45" s="32"/>
      <c r="F45" s="32"/>
      <c r="G45" s="33"/>
    </row>
    <row r="46" ht="15.0" customHeight="1">
      <c r="A46" s="39" t="s">
        <v>372</v>
      </c>
      <c r="B46" s="33"/>
      <c r="C46" s="19">
        <f>IF(Identitas!$B$20="Ya",C22,0)</f>
        <v>3</v>
      </c>
      <c r="D46" s="39" t="s">
        <v>371</v>
      </c>
      <c r="E46" s="32"/>
      <c r="F46" s="32"/>
      <c r="G46" s="33"/>
    </row>
    <row r="47" ht="15.0" customHeight="1">
      <c r="A47" s="31" t="s">
        <v>374</v>
      </c>
      <c r="B47" s="33"/>
      <c r="C47" s="35">
        <f>SUM(C44:C46)</f>
        <v>2339</v>
      </c>
      <c r="D47" s="39" t="s">
        <v>378</v>
      </c>
      <c r="E47" s="32"/>
      <c r="F47" s="32"/>
      <c r="G47" s="33"/>
    </row>
    <row r="48" ht="15.75" customHeight="1"/>
    <row r="49" ht="36.0" customHeight="1">
      <c r="A49" s="37" t="s">
        <v>379</v>
      </c>
      <c r="B49" s="33"/>
      <c r="C49" s="4" t="s">
        <v>292</v>
      </c>
      <c r="D49" s="4" t="s">
        <v>293</v>
      </c>
    </row>
    <row r="50" ht="15.0" customHeight="1">
      <c r="A50" s="39" t="s">
        <v>380</v>
      </c>
      <c r="B50" s="33"/>
      <c r="C50" s="19">
        <f>COUNTIF(G6:G15,"&gt;0")</f>
        <v>8</v>
      </c>
      <c r="D50" s="39"/>
      <c r="E50" s="32"/>
      <c r="F50" s="32"/>
      <c r="G50" s="33"/>
    </row>
    <row r="51" ht="15.0" customHeight="1">
      <c r="A51" s="39" t="s">
        <v>381</v>
      </c>
      <c r="B51" s="33"/>
      <c r="C51" s="19">
        <f>COUNTIF(N6:N15,"Terlampir")</f>
        <v>8</v>
      </c>
      <c r="D51" s="39" t="s">
        <v>383</v>
      </c>
      <c r="E51" s="32"/>
      <c r="F51" s="32"/>
      <c r="G51" s="33"/>
    </row>
    <row r="52" ht="15.0" customHeight="1">
      <c r="A52" s="31" t="s">
        <v>385</v>
      </c>
      <c r="B52" s="33"/>
      <c r="C52" s="35">
        <f>C50-C51</f>
        <v>0</v>
      </c>
      <c r="D52" s="39" t="s">
        <v>387</v>
      </c>
      <c r="E52" s="32"/>
      <c r="F52" s="32"/>
      <c r="G52" s="33"/>
    </row>
    <row r="53" ht="15.75" customHeight="1"/>
    <row r="54" ht="15.75" customHeight="1">
      <c r="A54" s="2" t="s">
        <v>388</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5:B45"/>
    <mergeCell ref="A46:B46"/>
    <mergeCell ref="A47:B47"/>
    <mergeCell ref="A49:B49"/>
    <mergeCell ref="A50:B50"/>
    <mergeCell ref="A51:B51"/>
    <mergeCell ref="A52:B52"/>
    <mergeCell ref="A37:B37"/>
    <mergeCell ref="A38:B38"/>
    <mergeCell ref="A39:B39"/>
    <mergeCell ref="A40:B40"/>
    <mergeCell ref="A41:B41"/>
    <mergeCell ref="A43:B43"/>
    <mergeCell ref="A44:B44"/>
    <mergeCell ref="D22:G22"/>
    <mergeCell ref="D23:G23"/>
    <mergeCell ref="D24:G24"/>
    <mergeCell ref="D25:G25"/>
    <mergeCell ref="D26:G26"/>
    <mergeCell ref="D27:G27"/>
    <mergeCell ref="A16:D16"/>
    <mergeCell ref="A18:B18"/>
    <mergeCell ref="A19:B19"/>
    <mergeCell ref="D19:G19"/>
    <mergeCell ref="A20:B20"/>
    <mergeCell ref="D20:G20"/>
    <mergeCell ref="D21:G21"/>
    <mergeCell ref="A21:B21"/>
    <mergeCell ref="A22:B22"/>
    <mergeCell ref="A23:B23"/>
    <mergeCell ref="A24:B24"/>
    <mergeCell ref="A25:B25"/>
    <mergeCell ref="A26:B26"/>
    <mergeCell ref="A27:B27"/>
    <mergeCell ref="D32:G32"/>
    <mergeCell ref="D33:G33"/>
    <mergeCell ref="A29:B29"/>
    <mergeCell ref="A30:B30"/>
    <mergeCell ref="D30:G30"/>
    <mergeCell ref="A31:B31"/>
    <mergeCell ref="D31:G31"/>
    <mergeCell ref="A32:B32"/>
    <mergeCell ref="A33:B33"/>
    <mergeCell ref="A34:B34"/>
    <mergeCell ref="D34:G34"/>
    <mergeCell ref="A35:B35"/>
    <mergeCell ref="D35:G35"/>
    <mergeCell ref="A36:B36"/>
    <mergeCell ref="D36:G36"/>
    <mergeCell ref="D37:G37"/>
    <mergeCell ref="D47:G47"/>
    <mergeCell ref="D50:G50"/>
    <mergeCell ref="D51:G51"/>
    <mergeCell ref="D52:G52"/>
    <mergeCell ref="D38:G38"/>
    <mergeCell ref="D39:G39"/>
    <mergeCell ref="D40:G40"/>
    <mergeCell ref="D41:G41"/>
    <mergeCell ref="D44:G44"/>
    <mergeCell ref="D45:G45"/>
    <mergeCell ref="D46:G46"/>
  </mergeCells>
  <conditionalFormatting sqref="N6:N15">
    <cfRule type="cellIs" dxfId="0" priority="1" operator="equal">
      <formula>"DUPLIKAT"</formula>
    </cfRule>
  </conditionalFormatting>
  <conditionalFormatting sqref="N6:N15">
    <cfRule type="cellIs" dxfId="0" priority="2" operator="equal">
      <formula>"DI LUAR PERIODE"</formula>
    </cfRule>
  </conditionalFormatting>
  <conditionalFormatting sqref="N6:N15">
    <cfRule type="cellIs" dxfId="0" priority="3" operator="equal">
      <formula>"TANGGAL KOSONG"</formula>
    </cfRule>
  </conditionalFormatting>
  <conditionalFormatting sqref="N6:N15">
    <cfRule type="cellIs" dxfId="0" priority="4" operator="equal">
      <formula>"BELUM LENGKAP"</formula>
    </cfRule>
  </conditionalFormatting>
  <conditionalFormatting sqref="N6:N15">
    <cfRule type="cellIs" dxfId="0" priority="5" operator="equal">
      <formula>"BELUM ADA LINK"</formula>
    </cfRule>
  </conditionalFormatting>
  <dataValidations>
    <dataValidation type="custom" allowBlank="1" showInputMessage="1" showErrorMessage="1" prompt="Link tidak valid - Isi dengan tautan https:// ke lokasi unggah Cloud SIPGN." sqref="M6:M15">
      <formula1>OR(M6="",LEFT(M6,8)="https://")</formula1>
    </dataValidation>
    <dataValidation type="list" allowBlank="1" sqref="I6:I15">
      <formula1>Ref!$A$54:$A$60</formula1>
    </dataValidation>
    <dataValidation type="list" allowBlank="1" sqref="K6:K15">
      <formula1>"Ya,Tidak"</formula1>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5.0"/>
    <col customWidth="1" min="2" max="2" width="30.0"/>
    <col customWidth="1" min="3" max="3" width="12.0"/>
    <col customWidth="1" min="4" max="4" width="20.0"/>
    <col customWidth="1" min="5" max="5" width="16.0"/>
    <col customWidth="1" min="6" max="6" width="9.0"/>
    <col customWidth="1" min="7" max="7" width="8.0"/>
    <col customWidth="1" min="8" max="8" width="13.0"/>
    <col customWidth="1" min="9" max="9" width="15.0"/>
    <col customWidth="1" min="10" max="10" width="14.0"/>
    <col customWidth="1" min="11" max="11" width="13.0"/>
    <col customWidth="1" min="12" max="12" width="40.0"/>
    <col customWidth="1" min="13" max="13" width="13.0"/>
    <col customWidth="1" min="14" max="14" width="15.0"/>
    <col customWidth="1" min="15" max="15" width="20.0"/>
    <col customWidth="1" min="16" max="26" width="8.71"/>
  </cols>
  <sheetData>
    <row r="1">
      <c r="A1" s="1" t="s">
        <v>70</v>
      </c>
    </row>
    <row r="2">
      <c r="A2" s="2" t="s">
        <v>79</v>
      </c>
    </row>
    <row r="5" ht="36.0" customHeight="1">
      <c r="A5" s="4" t="s">
        <v>85</v>
      </c>
      <c r="B5" s="4" t="s">
        <v>86</v>
      </c>
      <c r="C5" s="4" t="s">
        <v>87</v>
      </c>
      <c r="D5" s="4" t="s">
        <v>89</v>
      </c>
      <c r="E5" s="4" t="s">
        <v>90</v>
      </c>
      <c r="F5" s="4" t="s">
        <v>91</v>
      </c>
      <c r="G5" s="4" t="s">
        <v>92</v>
      </c>
      <c r="H5" s="4" t="s">
        <v>93</v>
      </c>
      <c r="I5" s="4" t="s">
        <v>94</v>
      </c>
      <c r="J5" s="4" t="s">
        <v>95</v>
      </c>
      <c r="K5" s="4" t="s">
        <v>97</v>
      </c>
      <c r="L5" s="4" t="s">
        <v>98</v>
      </c>
      <c r="M5" s="4" t="s">
        <v>99</v>
      </c>
      <c r="N5" s="4" t="s">
        <v>101</v>
      </c>
      <c r="O5" s="4" t="s">
        <v>102</v>
      </c>
    </row>
    <row r="6">
      <c r="A6" s="14">
        <v>1.0</v>
      </c>
      <c r="B6" s="13" t="str">
        <f>IF(D6="","",Identitas!$B$6&amp;"-"&amp;TEXT(Identitas!$B$15,"yyyymmdd")&amp;"-BB-"&amp;TEXT(A6,"000"))</f>
        <v>18.71.XX.XXXX-20261005-BB-001</v>
      </c>
      <c r="C6" s="12">
        <v>46299.0</v>
      </c>
      <c r="D6" s="8" t="s">
        <v>129</v>
      </c>
      <c r="E6" s="8" t="s">
        <v>130</v>
      </c>
      <c r="F6" s="18">
        <v>180.0</v>
      </c>
      <c r="G6" s="8" t="s">
        <v>131</v>
      </c>
      <c r="H6" s="15">
        <v>14000.0</v>
      </c>
      <c r="I6" s="19">
        <f t="shared" ref="I6:I45" si="1">IF(OR(F6="",H6=""),0,F6*H6)</f>
        <v>2520000</v>
      </c>
      <c r="J6" s="8" t="s">
        <v>136</v>
      </c>
      <c r="K6" s="8" t="s">
        <v>137</v>
      </c>
      <c r="L6" s="8" t="s">
        <v>138</v>
      </c>
      <c r="M6" s="14" t="str">
        <f>IF(K6="","",IF(COUNTIF(I_RegisterBukti!$C$5:$C$130,K6)&gt;1,"DUPLIKAT","Unik"))</f>
        <v>Unik</v>
      </c>
      <c r="N6" s="14" t="str">
        <f>IF(D6="","",IF(C6="","TANGGAL KOSONG",IF(AND(C6&gt;=Identitas!$B$32,C6&lt;=Identitas!$B$33),"Sesuai","DI LUAR PERIODE")))</f>
        <v>Sesuai</v>
      </c>
      <c r="O6" s="8"/>
    </row>
    <row r="7">
      <c r="A7" s="14">
        <v>2.0</v>
      </c>
      <c r="B7" s="13" t="str">
        <f>IF(D7="","",Identitas!$B$6&amp;"-"&amp;TEXT(Identitas!$B$15,"yyyymmdd")&amp;"-BB-"&amp;TEXT(A7,"000"))</f>
        <v>18.71.XX.XXXX-20261005-BB-002</v>
      </c>
      <c r="C7" s="12">
        <v>46299.0</v>
      </c>
      <c r="D7" s="8" t="s">
        <v>146</v>
      </c>
      <c r="E7" s="8" t="s">
        <v>147</v>
      </c>
      <c r="F7" s="18">
        <v>240.0</v>
      </c>
      <c r="G7" s="8" t="s">
        <v>131</v>
      </c>
      <c r="H7" s="15">
        <v>38000.0</v>
      </c>
      <c r="I7" s="19">
        <f t="shared" si="1"/>
        <v>9120000</v>
      </c>
      <c r="J7" s="8" t="s">
        <v>149</v>
      </c>
      <c r="K7" s="8" t="s">
        <v>150</v>
      </c>
      <c r="L7" s="8" t="s">
        <v>151</v>
      </c>
      <c r="M7" s="14" t="str">
        <f>IF(K7="","",IF(COUNTIF(I_RegisterBukti!$C$5:$C$130,K7)&gt;1,"DUPLIKAT","Unik"))</f>
        <v>Unik</v>
      </c>
      <c r="N7" s="14" t="str">
        <f>IF(D7="","",IF(C7="","TANGGAL KOSONG",IF(AND(C7&gt;=Identitas!$B$32,C7&lt;=Identitas!$B$33),"Sesuai","DI LUAR PERIODE")))</f>
        <v>Sesuai</v>
      </c>
      <c r="O7" s="8"/>
    </row>
    <row r="8">
      <c r="A8" s="14">
        <v>3.0</v>
      </c>
      <c r="B8" s="13" t="str">
        <f>IF(D8="","",Identitas!$B$6&amp;"-"&amp;TEXT(Identitas!$B$15,"yyyymmdd")&amp;"-BB-"&amp;TEXT(A8,"000"))</f>
        <v>18.71.XX.XXXX-20261005-BB-003</v>
      </c>
      <c r="C8" s="12">
        <v>46299.0</v>
      </c>
      <c r="D8" s="8" t="s">
        <v>159</v>
      </c>
      <c r="E8" s="8" t="s">
        <v>160</v>
      </c>
      <c r="F8" s="18">
        <v>600.0</v>
      </c>
      <c r="G8" s="8" t="s">
        <v>161</v>
      </c>
      <c r="H8" s="15">
        <v>700.0</v>
      </c>
      <c r="I8" s="19">
        <f t="shared" si="1"/>
        <v>420000</v>
      </c>
      <c r="J8" s="8" t="s">
        <v>162</v>
      </c>
      <c r="K8" s="8" t="s">
        <v>164</v>
      </c>
      <c r="L8" s="8" t="s">
        <v>166</v>
      </c>
      <c r="M8" s="14" t="str">
        <f>IF(K8="","",IF(COUNTIF(I_RegisterBukti!$C$5:$C$130,K8)&gt;1,"DUPLIKAT","Unik"))</f>
        <v>Unik</v>
      </c>
      <c r="N8" s="14" t="str">
        <f>IF(D8="","",IF(C8="","TANGGAL KOSONG",IF(AND(C8&gt;=Identitas!$B$32,C8&lt;=Identitas!$B$33),"Sesuai","DI LUAR PERIODE")))</f>
        <v>Sesuai</v>
      </c>
      <c r="O8" s="8"/>
    </row>
    <row r="9">
      <c r="A9" s="14">
        <v>4.0</v>
      </c>
      <c r="B9" s="13" t="str">
        <f>IF(D9="","",Identitas!$B$6&amp;"-"&amp;TEXT(Identitas!$B$15,"yyyymmdd")&amp;"-BB-"&amp;TEXT(A9,"000"))</f>
        <v>18.71.XX.XXXX-20261005-BB-004</v>
      </c>
      <c r="C9" s="12">
        <v>46299.0</v>
      </c>
      <c r="D9" s="8" t="s">
        <v>182</v>
      </c>
      <c r="E9" s="8" t="s">
        <v>183</v>
      </c>
      <c r="F9" s="18">
        <v>80.0</v>
      </c>
      <c r="G9" s="8" t="s">
        <v>131</v>
      </c>
      <c r="H9" s="15">
        <v>12000.0</v>
      </c>
      <c r="I9" s="19">
        <f t="shared" si="1"/>
        <v>960000</v>
      </c>
      <c r="J9" s="8" t="s">
        <v>184</v>
      </c>
      <c r="K9" s="8" t="s">
        <v>186</v>
      </c>
      <c r="L9" s="8" t="s">
        <v>187</v>
      </c>
      <c r="M9" s="14" t="str">
        <f>IF(K9="","",IF(COUNTIF(I_RegisterBukti!$C$5:$C$130,K9)&gt;1,"DUPLIKAT","Unik"))</f>
        <v>Unik</v>
      </c>
      <c r="N9" s="14" t="str">
        <f>IF(D9="","",IF(C9="","TANGGAL KOSONG",IF(AND(C9&gt;=Identitas!$B$32,C9&lt;=Identitas!$B$33),"Sesuai","DI LUAR PERIODE")))</f>
        <v>Sesuai</v>
      </c>
      <c r="O9" s="8"/>
    </row>
    <row r="10">
      <c r="A10" s="14">
        <v>5.0</v>
      </c>
      <c r="B10" s="13" t="str">
        <f>IF(D10="","",Identitas!$B$6&amp;"-"&amp;TEXT(Identitas!$B$15,"yyyymmdd")&amp;"-BB-"&amp;TEXT(A10,"000"))</f>
        <v>18.71.XX.XXXX-20261005-BB-005</v>
      </c>
      <c r="C10" s="12">
        <v>46299.0</v>
      </c>
      <c r="D10" s="8" t="s">
        <v>203</v>
      </c>
      <c r="E10" s="8" t="s">
        <v>183</v>
      </c>
      <c r="F10" s="18">
        <v>60.0</v>
      </c>
      <c r="G10" s="8" t="s">
        <v>131</v>
      </c>
      <c r="H10" s="15">
        <v>15000.0</v>
      </c>
      <c r="I10" s="19">
        <f t="shared" si="1"/>
        <v>900000</v>
      </c>
      <c r="J10" s="8" t="s">
        <v>184</v>
      </c>
      <c r="K10" s="8" t="s">
        <v>204</v>
      </c>
      <c r="L10" s="8" t="s">
        <v>205</v>
      </c>
      <c r="M10" s="14" t="str">
        <f>IF(K10="","",IF(COUNTIF(I_RegisterBukti!$C$5:$C$130,K10)&gt;1,"DUPLIKAT","Unik"))</f>
        <v>Unik</v>
      </c>
      <c r="N10" s="14" t="str">
        <f>IF(D10="","",IF(C10="","TANGGAL KOSONG",IF(AND(C10&gt;=Identitas!$B$32,C10&lt;=Identitas!$B$33),"Sesuai","DI LUAR PERIODE")))</f>
        <v>Sesuai</v>
      </c>
      <c r="O10" s="8"/>
    </row>
    <row r="11">
      <c r="A11" s="14">
        <v>6.0</v>
      </c>
      <c r="B11" s="13" t="str">
        <f>IF(D11="","",Identitas!$B$6&amp;"-"&amp;TEXT(Identitas!$B$15,"yyyymmdd")&amp;"-BB-"&amp;TEXT(A11,"000"))</f>
        <v>18.71.XX.XXXX-20261005-BB-006</v>
      </c>
      <c r="C11" s="12">
        <v>46299.0</v>
      </c>
      <c r="D11" s="8" t="s">
        <v>211</v>
      </c>
      <c r="E11" s="8" t="s">
        <v>212</v>
      </c>
      <c r="F11" s="18">
        <v>2450.0</v>
      </c>
      <c r="G11" s="8" t="s">
        <v>213</v>
      </c>
      <c r="H11" s="15">
        <v>1500.0</v>
      </c>
      <c r="I11" s="19">
        <f t="shared" si="1"/>
        <v>3675000</v>
      </c>
      <c r="J11" s="8" t="s">
        <v>215</v>
      </c>
      <c r="K11" s="8" t="s">
        <v>216</v>
      </c>
      <c r="L11" s="8" t="s">
        <v>217</v>
      </c>
      <c r="M11" s="14" t="str">
        <f>IF(K11="","",IF(COUNTIF(I_RegisterBukti!$C$5:$C$130,K11)&gt;1,"DUPLIKAT","Unik"))</f>
        <v>Unik</v>
      </c>
      <c r="N11" s="14" t="str">
        <f>IF(D11="","",IF(C11="","TANGGAL KOSONG",IF(AND(C11&gt;=Identitas!$B$32,C11&lt;=Identitas!$B$33),"Sesuai","DI LUAR PERIODE")))</f>
        <v>Sesuai</v>
      </c>
      <c r="O11" s="8"/>
    </row>
    <row r="12">
      <c r="A12" s="14">
        <v>7.0</v>
      </c>
      <c r="B12" s="13" t="str">
        <f>IF(D12="","",Identitas!$B$6&amp;"-"&amp;TEXT(Identitas!$B$15,"yyyymmdd")&amp;"-BB-"&amp;TEXT(A12,"000"))</f>
        <v>18.71.XX.XXXX-20261005-BB-007</v>
      </c>
      <c r="C12" s="12">
        <v>46299.0</v>
      </c>
      <c r="D12" s="8" t="s">
        <v>222</v>
      </c>
      <c r="E12" s="8" t="s">
        <v>223</v>
      </c>
      <c r="F12" s="18">
        <v>30.0</v>
      </c>
      <c r="G12" s="8" t="s">
        <v>224</v>
      </c>
      <c r="H12" s="15">
        <v>18000.0</v>
      </c>
      <c r="I12" s="19">
        <f t="shared" si="1"/>
        <v>540000</v>
      </c>
      <c r="J12" s="8" t="s">
        <v>225</v>
      </c>
      <c r="K12" s="8" t="s">
        <v>226</v>
      </c>
      <c r="L12" s="8" t="s">
        <v>230</v>
      </c>
      <c r="M12" s="14" t="str">
        <f>IF(K12="","",IF(COUNTIF(I_RegisterBukti!$C$5:$C$130,K12)&gt;1,"DUPLIKAT","Unik"))</f>
        <v>Unik</v>
      </c>
      <c r="N12" s="14" t="str">
        <f>IF(D12="","",IF(C12="","TANGGAL KOSONG",IF(AND(C12&gt;=Identitas!$B$32,C12&lt;=Identitas!$B$33),"Sesuai","DI LUAR PERIODE")))</f>
        <v>Sesuai</v>
      </c>
      <c r="O12" s="8"/>
    </row>
    <row r="13">
      <c r="A13" s="14">
        <v>8.0</v>
      </c>
      <c r="B13" s="13" t="str">
        <f>IF(D13="","",Identitas!$B$6&amp;"-"&amp;TEXT(Identitas!$B$15,"yyyymmdd")&amp;"-BB-"&amp;TEXT(A13,"000"))</f>
        <v>18.71.XX.XXXX-20261005-BB-008</v>
      </c>
      <c r="C13" s="12">
        <v>46299.0</v>
      </c>
      <c r="D13" s="8" t="s">
        <v>231</v>
      </c>
      <c r="E13" s="8" t="s">
        <v>223</v>
      </c>
      <c r="F13" s="18">
        <v>1.0</v>
      </c>
      <c r="G13" s="8" t="s">
        <v>232</v>
      </c>
      <c r="H13" s="15">
        <v>750000.0</v>
      </c>
      <c r="I13" s="19">
        <f t="shared" si="1"/>
        <v>750000</v>
      </c>
      <c r="J13" s="8" t="s">
        <v>225</v>
      </c>
      <c r="K13" s="8" t="s">
        <v>233</v>
      </c>
      <c r="L13" s="8" t="s">
        <v>234</v>
      </c>
      <c r="M13" s="14" t="str">
        <f>IF(K13="","",IF(COUNTIF(I_RegisterBukti!$C$5:$C$130,K13)&gt;1,"DUPLIKAT","Unik"))</f>
        <v>Unik</v>
      </c>
      <c r="N13" s="14" t="str">
        <f>IF(D13="","",IF(C13="","TANGGAL KOSONG",IF(AND(C13&gt;=Identitas!$B$32,C13&lt;=Identitas!$B$33),"Sesuai","DI LUAR PERIODE")))</f>
        <v>Sesuai</v>
      </c>
      <c r="O13" s="8"/>
    </row>
    <row r="14">
      <c r="A14" s="14">
        <v>9.0</v>
      </c>
      <c r="B14" s="13" t="str">
        <f>IF(D14="","",Identitas!$B$6&amp;"-"&amp;TEXT(Identitas!$B$15,"yyyymmdd")&amp;"-BB-"&amp;TEXT(A14,"000"))</f>
        <v/>
      </c>
      <c r="C14" s="12"/>
      <c r="D14" s="8"/>
      <c r="E14" s="8"/>
      <c r="F14" s="18"/>
      <c r="G14" s="8"/>
      <c r="H14" s="15"/>
      <c r="I14" s="19">
        <f t="shared" si="1"/>
        <v>0</v>
      </c>
      <c r="J14" s="8"/>
      <c r="K14" s="8"/>
      <c r="L14" s="8"/>
      <c r="M14" s="14" t="str">
        <f>IF(K14="","",IF(COUNTIF(I_RegisterBukti!$C$5:$C$130,K14)&gt;1,"DUPLIKAT","Unik"))</f>
        <v/>
      </c>
      <c r="N14" s="14" t="str">
        <f>IF(D14="","",IF(C14="","TANGGAL KOSONG",IF(AND(C14&gt;=Identitas!$B$32,C14&lt;=Identitas!$B$33),"Sesuai","DI LUAR PERIODE")))</f>
        <v/>
      </c>
      <c r="O14" s="8"/>
    </row>
    <row r="15">
      <c r="A15" s="14">
        <v>10.0</v>
      </c>
      <c r="B15" s="13" t="str">
        <f>IF(D15="","",Identitas!$B$6&amp;"-"&amp;TEXT(Identitas!$B$15,"yyyymmdd")&amp;"-BB-"&amp;TEXT(A15,"000"))</f>
        <v/>
      </c>
      <c r="C15" s="12"/>
      <c r="D15" s="8"/>
      <c r="E15" s="8"/>
      <c r="F15" s="18"/>
      <c r="G15" s="8"/>
      <c r="H15" s="15"/>
      <c r="I15" s="19">
        <f t="shared" si="1"/>
        <v>0</v>
      </c>
      <c r="J15" s="8"/>
      <c r="K15" s="8"/>
      <c r="L15" s="8"/>
      <c r="M15" s="14" t="str">
        <f>IF(K15="","",IF(COUNTIF(I_RegisterBukti!$C$5:$C$130,K15)&gt;1,"DUPLIKAT","Unik"))</f>
        <v/>
      </c>
      <c r="N15" s="14" t="str">
        <f>IF(D15="","",IF(C15="","TANGGAL KOSONG",IF(AND(C15&gt;=Identitas!$B$32,C15&lt;=Identitas!$B$33),"Sesuai","DI LUAR PERIODE")))</f>
        <v/>
      </c>
      <c r="O15" s="8"/>
    </row>
    <row r="16">
      <c r="A16" s="14">
        <v>11.0</v>
      </c>
      <c r="B16" s="13" t="str">
        <f>IF(D16="","",Identitas!$B$6&amp;"-"&amp;TEXT(Identitas!$B$15,"yyyymmdd")&amp;"-BB-"&amp;TEXT(A16,"000"))</f>
        <v/>
      </c>
      <c r="C16" s="12"/>
      <c r="D16" s="8"/>
      <c r="E16" s="8"/>
      <c r="F16" s="18"/>
      <c r="G16" s="8"/>
      <c r="H16" s="15"/>
      <c r="I16" s="19">
        <f t="shared" si="1"/>
        <v>0</v>
      </c>
      <c r="J16" s="8"/>
      <c r="K16" s="8"/>
      <c r="L16" s="8"/>
      <c r="M16" s="14" t="str">
        <f>IF(K16="","",IF(COUNTIF(I_RegisterBukti!$C$5:$C$130,K16)&gt;1,"DUPLIKAT","Unik"))</f>
        <v/>
      </c>
      <c r="N16" s="14" t="str">
        <f>IF(D16="","",IF(C16="","TANGGAL KOSONG",IF(AND(C16&gt;=Identitas!$B$32,C16&lt;=Identitas!$B$33),"Sesuai","DI LUAR PERIODE")))</f>
        <v/>
      </c>
      <c r="O16" s="8"/>
    </row>
    <row r="17">
      <c r="A17" s="14">
        <v>12.0</v>
      </c>
      <c r="B17" s="13" t="str">
        <f>IF(D17="","",Identitas!$B$6&amp;"-"&amp;TEXT(Identitas!$B$15,"yyyymmdd")&amp;"-BB-"&amp;TEXT(A17,"000"))</f>
        <v/>
      </c>
      <c r="C17" s="12"/>
      <c r="D17" s="8"/>
      <c r="E17" s="8"/>
      <c r="F17" s="18"/>
      <c r="G17" s="8"/>
      <c r="H17" s="15"/>
      <c r="I17" s="19">
        <f t="shared" si="1"/>
        <v>0</v>
      </c>
      <c r="J17" s="8"/>
      <c r="K17" s="8"/>
      <c r="L17" s="8"/>
      <c r="M17" s="14" t="str">
        <f>IF(K17="","",IF(COUNTIF(I_RegisterBukti!$C$5:$C$130,K17)&gt;1,"DUPLIKAT","Unik"))</f>
        <v/>
      </c>
      <c r="N17" s="14" t="str">
        <f>IF(D17="","",IF(C17="","TANGGAL KOSONG",IF(AND(C17&gt;=Identitas!$B$32,C17&lt;=Identitas!$B$33),"Sesuai","DI LUAR PERIODE")))</f>
        <v/>
      </c>
      <c r="O17" s="8"/>
    </row>
    <row r="18">
      <c r="A18" s="14">
        <v>13.0</v>
      </c>
      <c r="B18" s="13" t="str">
        <f>IF(D18="","",Identitas!$B$6&amp;"-"&amp;TEXT(Identitas!$B$15,"yyyymmdd")&amp;"-BB-"&amp;TEXT(A18,"000"))</f>
        <v/>
      </c>
      <c r="C18" s="12"/>
      <c r="D18" s="8"/>
      <c r="E18" s="8"/>
      <c r="F18" s="18"/>
      <c r="G18" s="8"/>
      <c r="H18" s="15"/>
      <c r="I18" s="19">
        <f t="shared" si="1"/>
        <v>0</v>
      </c>
      <c r="J18" s="8"/>
      <c r="K18" s="8"/>
      <c r="L18" s="8"/>
      <c r="M18" s="14" t="str">
        <f>IF(K18="","",IF(COUNTIF(I_RegisterBukti!$C$5:$C$130,K18)&gt;1,"DUPLIKAT","Unik"))</f>
        <v/>
      </c>
      <c r="N18" s="14" t="str">
        <f>IF(D18="","",IF(C18="","TANGGAL KOSONG",IF(AND(C18&gt;=Identitas!$B$32,C18&lt;=Identitas!$B$33),"Sesuai","DI LUAR PERIODE")))</f>
        <v/>
      </c>
      <c r="O18" s="8"/>
    </row>
    <row r="19">
      <c r="A19" s="14">
        <v>14.0</v>
      </c>
      <c r="B19" s="13" t="str">
        <f>IF(D19="","",Identitas!$B$6&amp;"-"&amp;TEXT(Identitas!$B$15,"yyyymmdd")&amp;"-BB-"&amp;TEXT(A19,"000"))</f>
        <v/>
      </c>
      <c r="C19" s="12"/>
      <c r="D19" s="8"/>
      <c r="E19" s="8"/>
      <c r="F19" s="18"/>
      <c r="G19" s="8"/>
      <c r="H19" s="15"/>
      <c r="I19" s="19">
        <f t="shared" si="1"/>
        <v>0</v>
      </c>
      <c r="J19" s="8"/>
      <c r="K19" s="8"/>
      <c r="L19" s="8"/>
      <c r="M19" s="14" t="str">
        <f>IF(K19="","",IF(COUNTIF(I_RegisterBukti!$C$5:$C$130,K19)&gt;1,"DUPLIKAT","Unik"))</f>
        <v/>
      </c>
      <c r="N19" s="14" t="str">
        <f>IF(D19="","",IF(C19="","TANGGAL KOSONG",IF(AND(C19&gt;=Identitas!$B$32,C19&lt;=Identitas!$B$33),"Sesuai","DI LUAR PERIODE")))</f>
        <v/>
      </c>
      <c r="O19" s="8"/>
    </row>
    <row r="20">
      <c r="A20" s="14">
        <v>15.0</v>
      </c>
      <c r="B20" s="13" t="str">
        <f>IF(D20="","",Identitas!$B$6&amp;"-"&amp;TEXT(Identitas!$B$15,"yyyymmdd")&amp;"-BB-"&amp;TEXT(A20,"000"))</f>
        <v/>
      </c>
      <c r="C20" s="12"/>
      <c r="D20" s="8"/>
      <c r="E20" s="8"/>
      <c r="F20" s="18"/>
      <c r="G20" s="8"/>
      <c r="H20" s="15"/>
      <c r="I20" s="19">
        <f t="shared" si="1"/>
        <v>0</v>
      </c>
      <c r="J20" s="8"/>
      <c r="K20" s="8"/>
      <c r="L20" s="8"/>
      <c r="M20" s="14" t="str">
        <f>IF(K20="","",IF(COUNTIF(I_RegisterBukti!$C$5:$C$130,K20)&gt;1,"DUPLIKAT","Unik"))</f>
        <v/>
      </c>
      <c r="N20" s="14" t="str">
        <f>IF(D20="","",IF(C20="","TANGGAL KOSONG",IF(AND(C20&gt;=Identitas!$B$32,C20&lt;=Identitas!$B$33),"Sesuai","DI LUAR PERIODE")))</f>
        <v/>
      </c>
      <c r="O20" s="8"/>
    </row>
    <row r="21" ht="15.75" customHeight="1">
      <c r="A21" s="14">
        <v>16.0</v>
      </c>
      <c r="B21" s="13" t="str">
        <f>IF(D21="","",Identitas!$B$6&amp;"-"&amp;TEXT(Identitas!$B$15,"yyyymmdd")&amp;"-BB-"&amp;TEXT(A21,"000"))</f>
        <v/>
      </c>
      <c r="C21" s="12"/>
      <c r="D21" s="8"/>
      <c r="E21" s="8"/>
      <c r="F21" s="18"/>
      <c r="G21" s="8"/>
      <c r="H21" s="15"/>
      <c r="I21" s="19">
        <f t="shared" si="1"/>
        <v>0</v>
      </c>
      <c r="J21" s="8"/>
      <c r="K21" s="8"/>
      <c r="L21" s="8"/>
      <c r="M21" s="14" t="str">
        <f>IF(K21="","",IF(COUNTIF(I_RegisterBukti!$C$5:$C$130,K21)&gt;1,"DUPLIKAT","Unik"))</f>
        <v/>
      </c>
      <c r="N21" s="14" t="str">
        <f>IF(D21="","",IF(C21="","TANGGAL KOSONG",IF(AND(C21&gt;=Identitas!$B$32,C21&lt;=Identitas!$B$33),"Sesuai","DI LUAR PERIODE")))</f>
        <v/>
      </c>
      <c r="O21" s="8"/>
    </row>
    <row r="22" ht="15.75" customHeight="1">
      <c r="A22" s="14">
        <v>17.0</v>
      </c>
      <c r="B22" s="13" t="str">
        <f>IF(D22="","",Identitas!$B$6&amp;"-"&amp;TEXT(Identitas!$B$15,"yyyymmdd")&amp;"-BB-"&amp;TEXT(A22,"000"))</f>
        <v/>
      </c>
      <c r="C22" s="12"/>
      <c r="D22" s="8"/>
      <c r="E22" s="8"/>
      <c r="F22" s="18"/>
      <c r="G22" s="8"/>
      <c r="H22" s="15"/>
      <c r="I22" s="19">
        <f t="shared" si="1"/>
        <v>0</v>
      </c>
      <c r="J22" s="8"/>
      <c r="K22" s="8"/>
      <c r="L22" s="8"/>
      <c r="M22" s="14" t="str">
        <f>IF(K22="","",IF(COUNTIF(I_RegisterBukti!$C$5:$C$130,K22)&gt;1,"DUPLIKAT","Unik"))</f>
        <v/>
      </c>
      <c r="N22" s="14" t="str">
        <f>IF(D22="","",IF(C22="","TANGGAL KOSONG",IF(AND(C22&gt;=Identitas!$B$32,C22&lt;=Identitas!$B$33),"Sesuai","DI LUAR PERIODE")))</f>
        <v/>
      </c>
      <c r="O22" s="8"/>
    </row>
    <row r="23" ht="15.75" customHeight="1">
      <c r="A23" s="14">
        <v>18.0</v>
      </c>
      <c r="B23" s="13" t="str">
        <f>IF(D23="","",Identitas!$B$6&amp;"-"&amp;TEXT(Identitas!$B$15,"yyyymmdd")&amp;"-BB-"&amp;TEXT(A23,"000"))</f>
        <v/>
      </c>
      <c r="C23" s="12"/>
      <c r="D23" s="8"/>
      <c r="E23" s="8"/>
      <c r="F23" s="18"/>
      <c r="G23" s="8"/>
      <c r="H23" s="15"/>
      <c r="I23" s="19">
        <f t="shared" si="1"/>
        <v>0</v>
      </c>
      <c r="J23" s="8"/>
      <c r="K23" s="8"/>
      <c r="L23" s="8"/>
      <c r="M23" s="14" t="str">
        <f>IF(K23="","",IF(COUNTIF(I_RegisterBukti!$C$5:$C$130,K23)&gt;1,"DUPLIKAT","Unik"))</f>
        <v/>
      </c>
      <c r="N23" s="14" t="str">
        <f>IF(D23="","",IF(C23="","TANGGAL KOSONG",IF(AND(C23&gt;=Identitas!$B$32,C23&lt;=Identitas!$B$33),"Sesuai","DI LUAR PERIODE")))</f>
        <v/>
      </c>
      <c r="O23" s="8"/>
    </row>
    <row r="24" ht="15.75" customHeight="1">
      <c r="A24" s="14">
        <v>19.0</v>
      </c>
      <c r="B24" s="13" t="str">
        <f>IF(D24="","",Identitas!$B$6&amp;"-"&amp;TEXT(Identitas!$B$15,"yyyymmdd")&amp;"-BB-"&amp;TEXT(A24,"000"))</f>
        <v/>
      </c>
      <c r="C24" s="12"/>
      <c r="D24" s="8"/>
      <c r="E24" s="8"/>
      <c r="F24" s="18"/>
      <c r="G24" s="8"/>
      <c r="H24" s="15"/>
      <c r="I24" s="19">
        <f t="shared" si="1"/>
        <v>0</v>
      </c>
      <c r="J24" s="8"/>
      <c r="K24" s="8"/>
      <c r="L24" s="8"/>
      <c r="M24" s="14" t="str">
        <f>IF(K24="","",IF(COUNTIF(I_RegisterBukti!$C$5:$C$130,K24)&gt;1,"DUPLIKAT","Unik"))</f>
        <v/>
      </c>
      <c r="N24" s="14" t="str">
        <f>IF(D24="","",IF(C24="","TANGGAL KOSONG",IF(AND(C24&gt;=Identitas!$B$32,C24&lt;=Identitas!$B$33),"Sesuai","DI LUAR PERIODE")))</f>
        <v/>
      </c>
      <c r="O24" s="8"/>
    </row>
    <row r="25" ht="15.75" customHeight="1">
      <c r="A25" s="14">
        <v>20.0</v>
      </c>
      <c r="B25" s="13" t="str">
        <f>IF(D25="","",Identitas!$B$6&amp;"-"&amp;TEXT(Identitas!$B$15,"yyyymmdd")&amp;"-BB-"&amp;TEXT(A25,"000"))</f>
        <v/>
      </c>
      <c r="C25" s="12"/>
      <c r="D25" s="8"/>
      <c r="E25" s="8"/>
      <c r="F25" s="18"/>
      <c r="G25" s="8"/>
      <c r="H25" s="15"/>
      <c r="I25" s="19">
        <f t="shared" si="1"/>
        <v>0</v>
      </c>
      <c r="J25" s="8"/>
      <c r="K25" s="8"/>
      <c r="L25" s="8"/>
      <c r="M25" s="14" t="str">
        <f>IF(K25="","",IF(COUNTIF(I_RegisterBukti!$C$5:$C$130,K25)&gt;1,"DUPLIKAT","Unik"))</f>
        <v/>
      </c>
      <c r="N25" s="14" t="str">
        <f>IF(D25="","",IF(C25="","TANGGAL KOSONG",IF(AND(C25&gt;=Identitas!$B$32,C25&lt;=Identitas!$B$33),"Sesuai","DI LUAR PERIODE")))</f>
        <v/>
      </c>
      <c r="O25" s="8"/>
    </row>
    <row r="26" ht="15.75" customHeight="1">
      <c r="A26" s="14">
        <v>21.0</v>
      </c>
      <c r="B26" s="13" t="str">
        <f>IF(D26="","",Identitas!$B$6&amp;"-"&amp;TEXT(Identitas!$B$15,"yyyymmdd")&amp;"-BB-"&amp;TEXT(A26,"000"))</f>
        <v/>
      </c>
      <c r="C26" s="12"/>
      <c r="D26" s="8"/>
      <c r="E26" s="8"/>
      <c r="F26" s="18"/>
      <c r="G26" s="8"/>
      <c r="H26" s="15"/>
      <c r="I26" s="19">
        <f t="shared" si="1"/>
        <v>0</v>
      </c>
      <c r="J26" s="8"/>
      <c r="K26" s="8"/>
      <c r="L26" s="8"/>
      <c r="M26" s="14" t="str">
        <f>IF(K26="","",IF(COUNTIF(I_RegisterBukti!$C$5:$C$130,K26)&gt;1,"DUPLIKAT","Unik"))</f>
        <v/>
      </c>
      <c r="N26" s="14" t="str">
        <f>IF(D26="","",IF(C26="","TANGGAL KOSONG",IF(AND(C26&gt;=Identitas!$B$32,C26&lt;=Identitas!$B$33),"Sesuai","DI LUAR PERIODE")))</f>
        <v/>
      </c>
      <c r="O26" s="8"/>
    </row>
    <row r="27" ht="15.75" customHeight="1">
      <c r="A27" s="14">
        <v>22.0</v>
      </c>
      <c r="B27" s="13" t="str">
        <f>IF(D27="","",Identitas!$B$6&amp;"-"&amp;TEXT(Identitas!$B$15,"yyyymmdd")&amp;"-BB-"&amp;TEXT(A27,"000"))</f>
        <v/>
      </c>
      <c r="C27" s="12"/>
      <c r="D27" s="8"/>
      <c r="E27" s="8"/>
      <c r="F27" s="18"/>
      <c r="G27" s="8"/>
      <c r="H27" s="15"/>
      <c r="I27" s="19">
        <f t="shared" si="1"/>
        <v>0</v>
      </c>
      <c r="J27" s="8"/>
      <c r="K27" s="8"/>
      <c r="L27" s="8"/>
      <c r="M27" s="14" t="str">
        <f>IF(K27="","",IF(COUNTIF(I_RegisterBukti!$C$5:$C$130,K27)&gt;1,"DUPLIKAT","Unik"))</f>
        <v/>
      </c>
      <c r="N27" s="14" t="str">
        <f>IF(D27="","",IF(C27="","TANGGAL KOSONG",IF(AND(C27&gt;=Identitas!$B$32,C27&lt;=Identitas!$B$33),"Sesuai","DI LUAR PERIODE")))</f>
        <v/>
      </c>
      <c r="O27" s="8"/>
    </row>
    <row r="28" ht="15.75" customHeight="1">
      <c r="A28" s="14">
        <v>23.0</v>
      </c>
      <c r="B28" s="13" t="str">
        <f>IF(D28="","",Identitas!$B$6&amp;"-"&amp;TEXT(Identitas!$B$15,"yyyymmdd")&amp;"-BB-"&amp;TEXT(A28,"000"))</f>
        <v/>
      </c>
      <c r="C28" s="12"/>
      <c r="D28" s="8"/>
      <c r="E28" s="8"/>
      <c r="F28" s="18"/>
      <c r="G28" s="8"/>
      <c r="H28" s="15"/>
      <c r="I28" s="19">
        <f t="shared" si="1"/>
        <v>0</v>
      </c>
      <c r="J28" s="8"/>
      <c r="K28" s="8"/>
      <c r="L28" s="8"/>
      <c r="M28" s="14" t="str">
        <f>IF(K28="","",IF(COUNTIF(I_RegisterBukti!$C$5:$C$130,K28)&gt;1,"DUPLIKAT","Unik"))</f>
        <v/>
      </c>
      <c r="N28" s="14" t="str">
        <f>IF(D28="","",IF(C28="","TANGGAL KOSONG",IF(AND(C28&gt;=Identitas!$B$32,C28&lt;=Identitas!$B$33),"Sesuai","DI LUAR PERIODE")))</f>
        <v/>
      </c>
      <c r="O28" s="8"/>
    </row>
    <row r="29" ht="15.75" customHeight="1">
      <c r="A29" s="14">
        <v>24.0</v>
      </c>
      <c r="B29" s="13" t="str">
        <f>IF(D29="","",Identitas!$B$6&amp;"-"&amp;TEXT(Identitas!$B$15,"yyyymmdd")&amp;"-BB-"&amp;TEXT(A29,"000"))</f>
        <v/>
      </c>
      <c r="C29" s="12"/>
      <c r="D29" s="8"/>
      <c r="E29" s="8"/>
      <c r="F29" s="18"/>
      <c r="G29" s="8"/>
      <c r="H29" s="15"/>
      <c r="I29" s="19">
        <f t="shared" si="1"/>
        <v>0</v>
      </c>
      <c r="J29" s="8"/>
      <c r="K29" s="8"/>
      <c r="L29" s="8"/>
      <c r="M29" s="14" t="str">
        <f>IF(K29="","",IF(COUNTIF(I_RegisterBukti!$C$5:$C$130,K29)&gt;1,"DUPLIKAT","Unik"))</f>
        <v/>
      </c>
      <c r="N29" s="14" t="str">
        <f>IF(D29="","",IF(C29="","TANGGAL KOSONG",IF(AND(C29&gt;=Identitas!$B$32,C29&lt;=Identitas!$B$33),"Sesuai","DI LUAR PERIODE")))</f>
        <v/>
      </c>
      <c r="O29" s="8"/>
    </row>
    <row r="30" ht="15.75" customHeight="1">
      <c r="A30" s="14">
        <v>25.0</v>
      </c>
      <c r="B30" s="13" t="str">
        <f>IF(D30="","",Identitas!$B$6&amp;"-"&amp;TEXT(Identitas!$B$15,"yyyymmdd")&amp;"-BB-"&amp;TEXT(A30,"000"))</f>
        <v/>
      </c>
      <c r="C30" s="12"/>
      <c r="D30" s="8"/>
      <c r="E30" s="8"/>
      <c r="F30" s="18"/>
      <c r="G30" s="8"/>
      <c r="H30" s="15"/>
      <c r="I30" s="19">
        <f t="shared" si="1"/>
        <v>0</v>
      </c>
      <c r="J30" s="8"/>
      <c r="K30" s="8"/>
      <c r="L30" s="8"/>
      <c r="M30" s="14" t="str">
        <f>IF(K30="","",IF(COUNTIF(I_RegisterBukti!$C$5:$C$130,K30)&gt;1,"DUPLIKAT","Unik"))</f>
        <v/>
      </c>
      <c r="N30" s="14" t="str">
        <f>IF(D30="","",IF(C30="","TANGGAL KOSONG",IF(AND(C30&gt;=Identitas!$B$32,C30&lt;=Identitas!$B$33),"Sesuai","DI LUAR PERIODE")))</f>
        <v/>
      </c>
      <c r="O30" s="8"/>
    </row>
    <row r="31" ht="15.75" customHeight="1">
      <c r="A31" s="14">
        <v>26.0</v>
      </c>
      <c r="B31" s="13" t="str">
        <f>IF(D31="","",Identitas!$B$6&amp;"-"&amp;TEXT(Identitas!$B$15,"yyyymmdd")&amp;"-BB-"&amp;TEXT(A31,"000"))</f>
        <v/>
      </c>
      <c r="C31" s="12"/>
      <c r="D31" s="8"/>
      <c r="E31" s="8"/>
      <c r="F31" s="18"/>
      <c r="G31" s="8"/>
      <c r="H31" s="15"/>
      <c r="I31" s="19">
        <f t="shared" si="1"/>
        <v>0</v>
      </c>
      <c r="J31" s="8"/>
      <c r="K31" s="8"/>
      <c r="L31" s="8"/>
      <c r="M31" s="14" t="str">
        <f>IF(K31="","",IF(COUNTIF(I_RegisterBukti!$C$5:$C$130,K31)&gt;1,"DUPLIKAT","Unik"))</f>
        <v/>
      </c>
      <c r="N31" s="14" t="str">
        <f>IF(D31="","",IF(C31="","TANGGAL KOSONG",IF(AND(C31&gt;=Identitas!$B$32,C31&lt;=Identitas!$B$33),"Sesuai","DI LUAR PERIODE")))</f>
        <v/>
      </c>
      <c r="O31" s="8"/>
    </row>
    <row r="32" ht="15.75" customHeight="1">
      <c r="A32" s="14">
        <v>27.0</v>
      </c>
      <c r="B32" s="13" t="str">
        <f>IF(D32="","",Identitas!$B$6&amp;"-"&amp;TEXT(Identitas!$B$15,"yyyymmdd")&amp;"-BB-"&amp;TEXT(A32,"000"))</f>
        <v/>
      </c>
      <c r="C32" s="12"/>
      <c r="D32" s="8"/>
      <c r="E32" s="8"/>
      <c r="F32" s="18"/>
      <c r="G32" s="8"/>
      <c r="H32" s="15"/>
      <c r="I32" s="19">
        <f t="shared" si="1"/>
        <v>0</v>
      </c>
      <c r="J32" s="8"/>
      <c r="K32" s="8"/>
      <c r="L32" s="8"/>
      <c r="M32" s="14" t="str">
        <f>IF(K32="","",IF(COUNTIF(I_RegisterBukti!$C$5:$C$130,K32)&gt;1,"DUPLIKAT","Unik"))</f>
        <v/>
      </c>
      <c r="N32" s="14" t="str">
        <f>IF(D32="","",IF(C32="","TANGGAL KOSONG",IF(AND(C32&gt;=Identitas!$B$32,C32&lt;=Identitas!$B$33),"Sesuai","DI LUAR PERIODE")))</f>
        <v/>
      </c>
      <c r="O32" s="8"/>
    </row>
    <row r="33" ht="15.75" customHeight="1">
      <c r="A33" s="14">
        <v>28.0</v>
      </c>
      <c r="B33" s="13" t="str">
        <f>IF(D33="","",Identitas!$B$6&amp;"-"&amp;TEXT(Identitas!$B$15,"yyyymmdd")&amp;"-BB-"&amp;TEXT(A33,"000"))</f>
        <v/>
      </c>
      <c r="C33" s="12"/>
      <c r="D33" s="8"/>
      <c r="E33" s="8"/>
      <c r="F33" s="18"/>
      <c r="G33" s="8"/>
      <c r="H33" s="15"/>
      <c r="I33" s="19">
        <f t="shared" si="1"/>
        <v>0</v>
      </c>
      <c r="J33" s="8"/>
      <c r="K33" s="8"/>
      <c r="L33" s="8"/>
      <c r="M33" s="14" t="str">
        <f>IF(K33="","",IF(COUNTIF(I_RegisterBukti!$C$5:$C$130,K33)&gt;1,"DUPLIKAT","Unik"))</f>
        <v/>
      </c>
      <c r="N33" s="14" t="str">
        <f>IF(D33="","",IF(C33="","TANGGAL KOSONG",IF(AND(C33&gt;=Identitas!$B$32,C33&lt;=Identitas!$B$33),"Sesuai","DI LUAR PERIODE")))</f>
        <v/>
      </c>
      <c r="O33" s="8"/>
    </row>
    <row r="34" ht="15.75" customHeight="1">
      <c r="A34" s="14">
        <v>29.0</v>
      </c>
      <c r="B34" s="13" t="str">
        <f>IF(D34="","",Identitas!$B$6&amp;"-"&amp;TEXT(Identitas!$B$15,"yyyymmdd")&amp;"-BB-"&amp;TEXT(A34,"000"))</f>
        <v/>
      </c>
      <c r="C34" s="12"/>
      <c r="D34" s="8"/>
      <c r="E34" s="8"/>
      <c r="F34" s="18"/>
      <c r="G34" s="8"/>
      <c r="H34" s="15"/>
      <c r="I34" s="19">
        <f t="shared" si="1"/>
        <v>0</v>
      </c>
      <c r="J34" s="8"/>
      <c r="K34" s="8"/>
      <c r="L34" s="8"/>
      <c r="M34" s="14" t="str">
        <f>IF(K34="","",IF(COUNTIF(I_RegisterBukti!$C$5:$C$130,K34)&gt;1,"DUPLIKAT","Unik"))</f>
        <v/>
      </c>
      <c r="N34" s="14" t="str">
        <f>IF(D34="","",IF(C34="","TANGGAL KOSONG",IF(AND(C34&gt;=Identitas!$B$32,C34&lt;=Identitas!$B$33),"Sesuai","DI LUAR PERIODE")))</f>
        <v/>
      </c>
      <c r="O34" s="8"/>
    </row>
    <row r="35" ht="15.75" customHeight="1">
      <c r="A35" s="14">
        <v>30.0</v>
      </c>
      <c r="B35" s="13" t="str">
        <f>IF(D35="","",Identitas!$B$6&amp;"-"&amp;TEXT(Identitas!$B$15,"yyyymmdd")&amp;"-BB-"&amp;TEXT(A35,"000"))</f>
        <v/>
      </c>
      <c r="C35" s="12"/>
      <c r="D35" s="8"/>
      <c r="E35" s="8"/>
      <c r="F35" s="18"/>
      <c r="G35" s="8"/>
      <c r="H35" s="15"/>
      <c r="I35" s="19">
        <f t="shared" si="1"/>
        <v>0</v>
      </c>
      <c r="J35" s="8"/>
      <c r="K35" s="8"/>
      <c r="L35" s="8"/>
      <c r="M35" s="14" t="str">
        <f>IF(K35="","",IF(COUNTIF(I_RegisterBukti!$C$5:$C$130,K35)&gt;1,"DUPLIKAT","Unik"))</f>
        <v/>
      </c>
      <c r="N35" s="14" t="str">
        <f>IF(D35="","",IF(C35="","TANGGAL KOSONG",IF(AND(C35&gt;=Identitas!$B$32,C35&lt;=Identitas!$B$33),"Sesuai","DI LUAR PERIODE")))</f>
        <v/>
      </c>
      <c r="O35" s="8"/>
    </row>
    <row r="36" ht="15.75" customHeight="1">
      <c r="A36" s="14">
        <v>31.0</v>
      </c>
      <c r="B36" s="13" t="str">
        <f>IF(D36="","",Identitas!$B$6&amp;"-"&amp;TEXT(Identitas!$B$15,"yyyymmdd")&amp;"-BB-"&amp;TEXT(A36,"000"))</f>
        <v/>
      </c>
      <c r="C36" s="12"/>
      <c r="D36" s="8"/>
      <c r="E36" s="8"/>
      <c r="F36" s="18"/>
      <c r="G36" s="8"/>
      <c r="H36" s="15"/>
      <c r="I36" s="19">
        <f t="shared" si="1"/>
        <v>0</v>
      </c>
      <c r="J36" s="8"/>
      <c r="K36" s="8"/>
      <c r="L36" s="8"/>
      <c r="M36" s="14" t="str">
        <f>IF(K36="","",IF(COUNTIF(I_RegisterBukti!$C$5:$C$130,K36)&gt;1,"DUPLIKAT","Unik"))</f>
        <v/>
      </c>
      <c r="N36" s="14" t="str">
        <f>IF(D36="","",IF(C36="","TANGGAL KOSONG",IF(AND(C36&gt;=Identitas!$B$32,C36&lt;=Identitas!$B$33),"Sesuai","DI LUAR PERIODE")))</f>
        <v/>
      </c>
      <c r="O36" s="8"/>
    </row>
    <row r="37" ht="15.75" customHeight="1">
      <c r="A37" s="14">
        <v>32.0</v>
      </c>
      <c r="B37" s="13" t="str">
        <f>IF(D37="","",Identitas!$B$6&amp;"-"&amp;TEXT(Identitas!$B$15,"yyyymmdd")&amp;"-BB-"&amp;TEXT(A37,"000"))</f>
        <v/>
      </c>
      <c r="C37" s="12"/>
      <c r="D37" s="8"/>
      <c r="E37" s="8"/>
      <c r="F37" s="18"/>
      <c r="G37" s="8"/>
      <c r="H37" s="15"/>
      <c r="I37" s="19">
        <f t="shared" si="1"/>
        <v>0</v>
      </c>
      <c r="J37" s="8"/>
      <c r="K37" s="8"/>
      <c r="L37" s="8"/>
      <c r="M37" s="14" t="str">
        <f>IF(K37="","",IF(COUNTIF(I_RegisterBukti!$C$5:$C$130,K37)&gt;1,"DUPLIKAT","Unik"))</f>
        <v/>
      </c>
      <c r="N37" s="14" t="str">
        <f>IF(D37="","",IF(C37="","TANGGAL KOSONG",IF(AND(C37&gt;=Identitas!$B$32,C37&lt;=Identitas!$B$33),"Sesuai","DI LUAR PERIODE")))</f>
        <v/>
      </c>
      <c r="O37" s="8"/>
    </row>
    <row r="38" ht="15.75" customHeight="1">
      <c r="A38" s="14">
        <v>33.0</v>
      </c>
      <c r="B38" s="13" t="str">
        <f>IF(D38="","",Identitas!$B$6&amp;"-"&amp;TEXT(Identitas!$B$15,"yyyymmdd")&amp;"-BB-"&amp;TEXT(A38,"000"))</f>
        <v/>
      </c>
      <c r="C38" s="12"/>
      <c r="D38" s="8"/>
      <c r="E38" s="8"/>
      <c r="F38" s="18"/>
      <c r="G38" s="8"/>
      <c r="H38" s="15"/>
      <c r="I38" s="19">
        <f t="shared" si="1"/>
        <v>0</v>
      </c>
      <c r="J38" s="8"/>
      <c r="K38" s="8"/>
      <c r="L38" s="8"/>
      <c r="M38" s="14" t="str">
        <f>IF(K38="","",IF(COUNTIF(I_RegisterBukti!$C$5:$C$130,K38)&gt;1,"DUPLIKAT","Unik"))</f>
        <v/>
      </c>
      <c r="N38" s="14" t="str">
        <f>IF(D38="","",IF(C38="","TANGGAL KOSONG",IF(AND(C38&gt;=Identitas!$B$32,C38&lt;=Identitas!$B$33),"Sesuai","DI LUAR PERIODE")))</f>
        <v/>
      </c>
      <c r="O38" s="8"/>
    </row>
    <row r="39" ht="15.75" customHeight="1">
      <c r="A39" s="14">
        <v>34.0</v>
      </c>
      <c r="B39" s="13" t="str">
        <f>IF(D39="","",Identitas!$B$6&amp;"-"&amp;TEXT(Identitas!$B$15,"yyyymmdd")&amp;"-BB-"&amp;TEXT(A39,"000"))</f>
        <v/>
      </c>
      <c r="C39" s="12"/>
      <c r="D39" s="8"/>
      <c r="E39" s="8"/>
      <c r="F39" s="18"/>
      <c r="G39" s="8"/>
      <c r="H39" s="15"/>
      <c r="I39" s="19">
        <f t="shared" si="1"/>
        <v>0</v>
      </c>
      <c r="J39" s="8"/>
      <c r="K39" s="8"/>
      <c r="L39" s="8"/>
      <c r="M39" s="14" t="str">
        <f>IF(K39="","",IF(COUNTIF(I_RegisterBukti!$C$5:$C$130,K39)&gt;1,"DUPLIKAT","Unik"))</f>
        <v/>
      </c>
      <c r="N39" s="14" t="str">
        <f>IF(D39="","",IF(C39="","TANGGAL KOSONG",IF(AND(C39&gt;=Identitas!$B$32,C39&lt;=Identitas!$B$33),"Sesuai","DI LUAR PERIODE")))</f>
        <v/>
      </c>
      <c r="O39" s="8"/>
    </row>
    <row r="40" ht="15.75" customHeight="1">
      <c r="A40" s="14">
        <v>35.0</v>
      </c>
      <c r="B40" s="13" t="str">
        <f>IF(D40="","",Identitas!$B$6&amp;"-"&amp;TEXT(Identitas!$B$15,"yyyymmdd")&amp;"-BB-"&amp;TEXT(A40,"000"))</f>
        <v/>
      </c>
      <c r="C40" s="12"/>
      <c r="D40" s="8"/>
      <c r="E40" s="8"/>
      <c r="F40" s="18"/>
      <c r="G40" s="8"/>
      <c r="H40" s="15"/>
      <c r="I40" s="19">
        <f t="shared" si="1"/>
        <v>0</v>
      </c>
      <c r="J40" s="8"/>
      <c r="K40" s="8"/>
      <c r="L40" s="8"/>
      <c r="M40" s="14" t="str">
        <f>IF(K40="","",IF(COUNTIF(I_RegisterBukti!$C$5:$C$130,K40)&gt;1,"DUPLIKAT","Unik"))</f>
        <v/>
      </c>
      <c r="N40" s="14" t="str">
        <f>IF(D40="","",IF(C40="","TANGGAL KOSONG",IF(AND(C40&gt;=Identitas!$B$32,C40&lt;=Identitas!$B$33),"Sesuai","DI LUAR PERIODE")))</f>
        <v/>
      </c>
      <c r="O40" s="8"/>
    </row>
    <row r="41" ht="15.75" customHeight="1">
      <c r="A41" s="14">
        <v>36.0</v>
      </c>
      <c r="B41" s="13" t="str">
        <f>IF(D41="","",Identitas!$B$6&amp;"-"&amp;TEXT(Identitas!$B$15,"yyyymmdd")&amp;"-BB-"&amp;TEXT(A41,"000"))</f>
        <v/>
      </c>
      <c r="C41" s="12"/>
      <c r="D41" s="8"/>
      <c r="E41" s="8"/>
      <c r="F41" s="18"/>
      <c r="G41" s="8"/>
      <c r="H41" s="15"/>
      <c r="I41" s="19">
        <f t="shared" si="1"/>
        <v>0</v>
      </c>
      <c r="J41" s="8"/>
      <c r="K41" s="8"/>
      <c r="L41" s="8"/>
      <c r="M41" s="14" t="str">
        <f>IF(K41="","",IF(COUNTIF(I_RegisterBukti!$C$5:$C$130,K41)&gt;1,"DUPLIKAT","Unik"))</f>
        <v/>
      </c>
      <c r="N41" s="14" t="str">
        <f>IF(D41="","",IF(C41="","TANGGAL KOSONG",IF(AND(C41&gt;=Identitas!$B$32,C41&lt;=Identitas!$B$33),"Sesuai","DI LUAR PERIODE")))</f>
        <v/>
      </c>
      <c r="O41" s="8"/>
    </row>
    <row r="42" ht="15.75" customHeight="1">
      <c r="A42" s="14">
        <v>37.0</v>
      </c>
      <c r="B42" s="13" t="str">
        <f>IF(D42="","",Identitas!$B$6&amp;"-"&amp;TEXT(Identitas!$B$15,"yyyymmdd")&amp;"-BB-"&amp;TEXT(A42,"000"))</f>
        <v/>
      </c>
      <c r="C42" s="12"/>
      <c r="D42" s="8"/>
      <c r="E42" s="8"/>
      <c r="F42" s="18"/>
      <c r="G42" s="8"/>
      <c r="H42" s="15"/>
      <c r="I42" s="19">
        <f t="shared" si="1"/>
        <v>0</v>
      </c>
      <c r="J42" s="8"/>
      <c r="K42" s="8"/>
      <c r="L42" s="8"/>
      <c r="M42" s="14" t="str">
        <f>IF(K42="","",IF(COUNTIF(I_RegisterBukti!$C$5:$C$130,K42)&gt;1,"DUPLIKAT","Unik"))</f>
        <v/>
      </c>
      <c r="N42" s="14" t="str">
        <f>IF(D42="","",IF(C42="","TANGGAL KOSONG",IF(AND(C42&gt;=Identitas!$B$32,C42&lt;=Identitas!$B$33),"Sesuai","DI LUAR PERIODE")))</f>
        <v/>
      </c>
      <c r="O42" s="8"/>
    </row>
    <row r="43" ht="15.75" customHeight="1">
      <c r="A43" s="14">
        <v>38.0</v>
      </c>
      <c r="B43" s="13" t="str">
        <f>IF(D43="","",Identitas!$B$6&amp;"-"&amp;TEXT(Identitas!$B$15,"yyyymmdd")&amp;"-BB-"&amp;TEXT(A43,"000"))</f>
        <v/>
      </c>
      <c r="C43" s="12"/>
      <c r="D43" s="8"/>
      <c r="E43" s="8"/>
      <c r="F43" s="18"/>
      <c r="G43" s="8"/>
      <c r="H43" s="15"/>
      <c r="I43" s="19">
        <f t="shared" si="1"/>
        <v>0</v>
      </c>
      <c r="J43" s="8"/>
      <c r="K43" s="8"/>
      <c r="L43" s="8"/>
      <c r="M43" s="14" t="str">
        <f>IF(K43="","",IF(COUNTIF(I_RegisterBukti!$C$5:$C$130,K43)&gt;1,"DUPLIKAT","Unik"))</f>
        <v/>
      </c>
      <c r="N43" s="14" t="str">
        <f>IF(D43="","",IF(C43="","TANGGAL KOSONG",IF(AND(C43&gt;=Identitas!$B$32,C43&lt;=Identitas!$B$33),"Sesuai","DI LUAR PERIODE")))</f>
        <v/>
      </c>
      <c r="O43" s="8"/>
    </row>
    <row r="44" ht="15.75" customHeight="1">
      <c r="A44" s="14">
        <v>39.0</v>
      </c>
      <c r="B44" s="13" t="str">
        <f>IF(D44="","",Identitas!$B$6&amp;"-"&amp;TEXT(Identitas!$B$15,"yyyymmdd")&amp;"-BB-"&amp;TEXT(A44,"000"))</f>
        <v/>
      </c>
      <c r="C44" s="12"/>
      <c r="D44" s="8"/>
      <c r="E44" s="8"/>
      <c r="F44" s="18"/>
      <c r="G44" s="8"/>
      <c r="H44" s="15"/>
      <c r="I44" s="19">
        <f t="shared" si="1"/>
        <v>0</v>
      </c>
      <c r="J44" s="8"/>
      <c r="K44" s="8"/>
      <c r="L44" s="8"/>
      <c r="M44" s="14" t="str">
        <f>IF(K44="","",IF(COUNTIF(I_RegisterBukti!$C$5:$C$130,K44)&gt;1,"DUPLIKAT","Unik"))</f>
        <v/>
      </c>
      <c r="N44" s="14" t="str">
        <f>IF(D44="","",IF(C44="","TANGGAL KOSONG",IF(AND(C44&gt;=Identitas!$B$32,C44&lt;=Identitas!$B$33),"Sesuai","DI LUAR PERIODE")))</f>
        <v/>
      </c>
      <c r="O44" s="8"/>
    </row>
    <row r="45" ht="15.75" customHeight="1">
      <c r="A45" s="14">
        <v>40.0</v>
      </c>
      <c r="B45" s="13" t="str">
        <f>IF(D45="","",Identitas!$B$6&amp;"-"&amp;TEXT(Identitas!$B$15,"yyyymmdd")&amp;"-BB-"&amp;TEXT(A45,"000"))</f>
        <v/>
      </c>
      <c r="C45" s="12"/>
      <c r="D45" s="8"/>
      <c r="E45" s="8"/>
      <c r="F45" s="18"/>
      <c r="G45" s="8"/>
      <c r="H45" s="15"/>
      <c r="I45" s="19">
        <f t="shared" si="1"/>
        <v>0</v>
      </c>
      <c r="J45" s="8"/>
      <c r="K45" s="8"/>
      <c r="L45" s="8"/>
      <c r="M45" s="14" t="str">
        <f>IF(K45="","",IF(COUNTIF(I_RegisterBukti!$C$5:$C$130,K45)&gt;1,"DUPLIKAT","Unik"))</f>
        <v/>
      </c>
      <c r="N45" s="14" t="str">
        <f>IF(D45="","",IF(C45="","TANGGAL KOSONG",IF(AND(C45&gt;=Identitas!$B$32,C45&lt;=Identitas!$B$33),"Sesuai","DI LUAR PERIODE")))</f>
        <v/>
      </c>
      <c r="O45" s="8"/>
    </row>
    <row r="46" ht="15.0" customHeight="1">
      <c r="A46" s="31" t="s">
        <v>399</v>
      </c>
      <c r="B46" s="32"/>
      <c r="C46" s="32"/>
      <c r="D46" s="32"/>
      <c r="E46" s="32"/>
      <c r="F46" s="32"/>
      <c r="G46" s="32"/>
      <c r="H46" s="33"/>
      <c r="I46" s="35">
        <f>SUM(I6:I45)</f>
        <v>18885000</v>
      </c>
    </row>
    <row r="47" ht="15.75" customHeight="1"/>
    <row r="48" ht="36.0" customHeight="1">
      <c r="A48" s="37" t="s">
        <v>358</v>
      </c>
      <c r="B48" s="32"/>
      <c r="C48" s="32"/>
      <c r="D48" s="32"/>
      <c r="E48" s="32"/>
      <c r="F48" s="32"/>
      <c r="G48" s="32"/>
      <c r="H48" s="33"/>
      <c r="I48" s="4" t="s">
        <v>359</v>
      </c>
    </row>
    <row r="49" ht="15.0" customHeight="1">
      <c r="A49" s="39" t="s">
        <v>403</v>
      </c>
      <c r="B49" s="32"/>
      <c r="C49" s="32"/>
      <c r="D49" s="32"/>
      <c r="E49" s="32"/>
      <c r="F49" s="32"/>
      <c r="G49" s="32"/>
      <c r="H49" s="33"/>
      <c r="I49" s="24">
        <f>A_PM!C19</f>
        <v>2400</v>
      </c>
    </row>
    <row r="50" ht="15.0" customHeight="1">
      <c r="A50" s="39" t="s">
        <v>404</v>
      </c>
      <c r="B50" s="32"/>
      <c r="C50" s="32"/>
      <c r="D50" s="32"/>
      <c r="E50" s="32"/>
      <c r="F50" s="32"/>
      <c r="G50" s="32"/>
      <c r="H50" s="33"/>
      <c r="I50" s="24">
        <f>IF(I49&gt;0,I46/I49,0)</f>
        <v>7868.75</v>
      </c>
    </row>
    <row r="51" ht="15.0" customHeight="1">
      <c r="A51" s="39" t="s">
        <v>405</v>
      </c>
      <c r="B51" s="32"/>
      <c r="C51" s="32"/>
      <c r="D51" s="32"/>
      <c r="E51" s="32"/>
      <c r="F51" s="32"/>
      <c r="G51" s="32"/>
      <c r="H51" s="33"/>
      <c r="I51" s="24">
        <f>A_PM!Q16</f>
        <v>9569.620253</v>
      </c>
    </row>
    <row r="52" ht="15.0" customHeight="1">
      <c r="A52" s="39" t="s">
        <v>373</v>
      </c>
      <c r="B52" s="32"/>
      <c r="C52" s="32"/>
      <c r="D52" s="32"/>
      <c r="E52" s="32"/>
      <c r="F52" s="32"/>
      <c r="G52" s="32"/>
      <c r="H52" s="33"/>
      <c r="I52" s="16" t="str">
        <f>IF(I50&lt;=I51,"Dalam pagu","Melebihi pagu: jelaskan")</f>
        <v>Dalam pagu</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46:H46"/>
    <mergeCell ref="A48:H48"/>
    <mergeCell ref="A49:H49"/>
    <mergeCell ref="A50:H50"/>
    <mergeCell ref="A51:H51"/>
    <mergeCell ref="A52:H52"/>
  </mergeCells>
  <conditionalFormatting sqref="M6:N45">
    <cfRule type="cellIs" dxfId="0" priority="1" operator="equal">
      <formula>"DUPLIKAT"</formula>
    </cfRule>
  </conditionalFormatting>
  <conditionalFormatting sqref="M6:N45">
    <cfRule type="cellIs" dxfId="0" priority="2" operator="equal">
      <formula>"DI LUAR PERIODE"</formula>
    </cfRule>
  </conditionalFormatting>
  <conditionalFormatting sqref="M6:N45">
    <cfRule type="cellIs" dxfId="0" priority="3" operator="equal">
      <formula>"TANGGAL KOSONG"</formula>
    </cfRule>
  </conditionalFormatting>
  <conditionalFormatting sqref="M6:N45">
    <cfRule type="cellIs" dxfId="0" priority="4" operator="equal">
      <formula>"BELUM LENGKAP"</formula>
    </cfRule>
  </conditionalFormatting>
  <conditionalFormatting sqref="M6:N45">
    <cfRule type="cellIs" dxfId="0" priority="5" operator="equal">
      <formula>"BELUM ADA LINK"</formula>
    </cfRule>
  </conditionalFormatting>
  <dataValidations>
    <dataValidation type="custom" allowBlank="1" showInputMessage="1" showErrorMessage="1" prompt="Link tidak valid - Isi dengan tautan https:// ke lokasi unggah Cloud SIPGN." sqref="L6:L45">
      <formula1>OR(L6="",LEFT(L6,8)="https://")</formula1>
    </dataValidation>
    <dataValidation type="list" allowBlank="1" sqref="E6:E45">
      <formula1>Ref!$A$43:$A$50</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4.43" defaultRowHeight="15.0"/>
  <cols>
    <col customWidth="1" min="1" max="1" width="5.0"/>
    <col customWidth="1" min="2" max="2" width="30.0"/>
    <col customWidth="1" min="3" max="3" width="12.0"/>
    <col customWidth="1" min="4" max="4" width="40.0"/>
    <col customWidth="1" min="5" max="6" width="9.0"/>
    <col customWidth="1" min="7" max="7" width="13.0"/>
    <col customWidth="1" min="8" max="8" width="15.0"/>
    <col customWidth="1" min="9" max="9" width="13.0"/>
    <col customWidth="1" min="10" max="10" width="40.0"/>
    <col customWidth="1" min="11" max="11" width="13.0"/>
    <col customWidth="1" min="12" max="12" width="15.0"/>
    <col customWidth="1" min="13" max="13" width="20.0"/>
    <col customWidth="1" min="14" max="26" width="8.71"/>
  </cols>
  <sheetData>
    <row r="1">
      <c r="A1" s="1" t="s">
        <v>143</v>
      </c>
    </row>
    <row r="2">
      <c r="A2" s="2" t="s">
        <v>144</v>
      </c>
    </row>
    <row r="5" ht="36.0" customHeight="1">
      <c r="A5" s="4" t="s">
        <v>85</v>
      </c>
      <c r="B5" s="4" t="s">
        <v>86</v>
      </c>
      <c r="C5" s="4" t="s">
        <v>87</v>
      </c>
      <c r="D5" s="4" t="s">
        <v>5</v>
      </c>
      <c r="E5" s="4" t="s">
        <v>91</v>
      </c>
      <c r="F5" s="4" t="s">
        <v>92</v>
      </c>
      <c r="G5" s="4" t="s">
        <v>93</v>
      </c>
      <c r="H5" s="4" t="s">
        <v>94</v>
      </c>
      <c r="I5" s="4" t="s">
        <v>148</v>
      </c>
      <c r="J5" s="4" t="s">
        <v>98</v>
      </c>
      <c r="K5" s="4" t="s">
        <v>99</v>
      </c>
      <c r="L5" s="4" t="s">
        <v>101</v>
      </c>
      <c r="M5" s="4" t="s">
        <v>102</v>
      </c>
    </row>
    <row r="6">
      <c r="A6" s="14">
        <v>1.0</v>
      </c>
      <c r="B6" s="13" t="s">
        <v>152</v>
      </c>
      <c r="C6" s="26">
        <f>IF(H6&gt;0,Identitas!B15,"")</f>
        <v>46300</v>
      </c>
      <c r="D6" s="6" t="s">
        <v>154</v>
      </c>
      <c r="E6" s="27">
        <f>'C1_Relawan'!C66</f>
        <v>47</v>
      </c>
      <c r="F6" s="6" t="s">
        <v>158</v>
      </c>
      <c r="G6" s="13"/>
      <c r="H6" s="19">
        <f>'C1_Relawan'!H66</f>
        <v>4230000</v>
      </c>
      <c r="I6" s="13" t="s">
        <v>163</v>
      </c>
      <c r="J6" s="13" t="s">
        <v>163</v>
      </c>
      <c r="K6" s="14" t="str">
        <f>IF(COUNTIF('C1_Relawan'!L6:L65,"DUPLIKAT")&gt;0,"DUPLIKAT","Lihat C1")</f>
        <v>Lihat C1</v>
      </c>
      <c r="L6" s="14" t="str">
        <f>IF(COUNTIF('C1_Relawan'!M6:M65,"DI LUAR PERIODE")&gt;0,"DI LUAR PERIODE","Lihat C1")</f>
        <v>Lihat C1</v>
      </c>
      <c r="M6" s="8"/>
    </row>
    <row r="7">
      <c r="A7" s="14">
        <v>2.0</v>
      </c>
      <c r="B7" s="13" t="str">
        <f>IF(I7="","",Identitas!$B$6&amp;"-"&amp;TEXT(Identitas!$B$15,"yyyymmdd")&amp;"-OP-"&amp;TEXT(A7,"000"))</f>
        <v>18.71.XX.XXXX-20261005-OP-002</v>
      </c>
      <c r="C7" s="12">
        <v>46300.0</v>
      </c>
      <c r="D7" s="6" t="s">
        <v>185</v>
      </c>
      <c r="E7" s="18">
        <v>4.0</v>
      </c>
      <c r="F7" s="8" t="s">
        <v>188</v>
      </c>
      <c r="G7" s="15">
        <v>100000.0</v>
      </c>
      <c r="H7" s="19">
        <f t="shared" ref="H7:H21" si="1">IF(OR(E7="",G7=""),0,E7*G7)</f>
        <v>400000</v>
      </c>
      <c r="I7" s="8" t="s">
        <v>198</v>
      </c>
      <c r="J7" s="8" t="s">
        <v>199</v>
      </c>
      <c r="K7" s="14" t="str">
        <f>IF(I7="","",IF(COUNTIF(I_RegisterBukti!$C$5:$C$130,I7)&gt;1,"DUPLIKAT","Unik"))</f>
        <v>Unik</v>
      </c>
      <c r="L7" s="14" t="str">
        <f>IF(I7="","",IF(C7="","TANGGAL KOSONG",IF(AND(C7&gt;=Identitas!$B$32,C7&lt;=Identitas!$B$33),"Sesuai","DI LUAR PERIODE")))</f>
        <v>Sesuai</v>
      </c>
      <c r="M7" s="8"/>
    </row>
    <row r="8">
      <c r="A8" s="14">
        <v>3.0</v>
      </c>
      <c r="B8" s="13" t="str">
        <f>IF(I8="","",Identitas!$B$6&amp;"-"&amp;TEXT(Identitas!$B$15,"yyyymmdd")&amp;"-OP-"&amp;TEXT(A8,"000"))</f>
        <v>18.71.XX.XXXX-20261005-OP-003</v>
      </c>
      <c r="C8" s="12">
        <v>46300.0</v>
      </c>
      <c r="D8" s="6" t="s">
        <v>214</v>
      </c>
      <c r="E8" s="18">
        <v>3.0</v>
      </c>
      <c r="F8" s="8" t="s">
        <v>158</v>
      </c>
      <c r="G8" s="15">
        <v>50000.0</v>
      </c>
      <c r="H8" s="19">
        <f t="shared" si="1"/>
        <v>150000</v>
      </c>
      <c r="I8" s="8" t="s">
        <v>218</v>
      </c>
      <c r="J8" s="8" t="s">
        <v>219</v>
      </c>
      <c r="K8" s="14" t="str">
        <f>IF(I8="","",IF(COUNTIF(I_RegisterBukti!$C$5:$C$130,I8)&gt;1,"DUPLIKAT","Unik"))</f>
        <v>Unik</v>
      </c>
      <c r="L8" s="14" t="str">
        <f>IF(I8="","",IF(C8="","TANGGAL KOSONG",IF(AND(C8&gt;=Identitas!$B$32,C8&lt;=Identitas!$B$33),"Sesuai","DI LUAR PERIODE")))</f>
        <v>Sesuai</v>
      </c>
      <c r="M8" s="8"/>
    </row>
    <row r="9">
      <c r="A9" s="14">
        <v>4.0</v>
      </c>
      <c r="B9" s="13" t="str">
        <f>IF(I9="","",Identitas!$B$6&amp;"-"&amp;TEXT(Identitas!$B$15,"yyyymmdd")&amp;"-OP-"&amp;TEXT(A9,"000"))</f>
        <v/>
      </c>
      <c r="C9" s="12"/>
      <c r="D9" s="6" t="s">
        <v>228</v>
      </c>
      <c r="E9" s="18"/>
      <c r="F9" s="8"/>
      <c r="G9" s="15"/>
      <c r="H9" s="19">
        <f t="shared" si="1"/>
        <v>0</v>
      </c>
      <c r="I9" s="8"/>
      <c r="J9" s="8"/>
      <c r="K9" s="14" t="str">
        <f>IF(I9="","",IF(COUNTIF(I_RegisterBukti!$C$5:$C$130,I9)&gt;1,"DUPLIKAT","Unik"))</f>
        <v/>
      </c>
      <c r="L9" s="14" t="str">
        <f>IF(I9="","",IF(C9="","TANGGAL KOSONG",IF(AND(C9&gt;=Identitas!$B$32,C9&lt;=Identitas!$B$33),"Sesuai","DI LUAR PERIODE")))</f>
        <v/>
      </c>
      <c r="M9" s="8"/>
    </row>
    <row r="10">
      <c r="A10" s="14">
        <v>5.0</v>
      </c>
      <c r="B10" s="13" t="str">
        <f>IF(I10="","",Identitas!$B$6&amp;"-"&amp;TEXT(Identitas!$B$15,"yyyymmdd")&amp;"-OP-"&amp;TEXT(A10,"000"))</f>
        <v>18.71.XX.XXXX-20261005-OP-005</v>
      </c>
      <c r="C10" s="12">
        <v>46300.0</v>
      </c>
      <c r="D10" s="6" t="s">
        <v>235</v>
      </c>
      <c r="E10" s="18">
        <v>1.0</v>
      </c>
      <c r="F10" s="8" t="s">
        <v>236</v>
      </c>
      <c r="G10" s="15">
        <v>350000.0</v>
      </c>
      <c r="H10" s="19">
        <f t="shared" si="1"/>
        <v>350000</v>
      </c>
      <c r="I10" s="8" t="s">
        <v>240</v>
      </c>
      <c r="J10" s="8" t="s">
        <v>241</v>
      </c>
      <c r="K10" s="14" t="str">
        <f>IF(I10="","",IF(COUNTIF(I_RegisterBukti!$C$5:$C$130,I10)&gt;1,"DUPLIKAT","Unik"))</f>
        <v>Unik</v>
      </c>
      <c r="L10" s="14" t="str">
        <f>IF(I10="","",IF(C10="","TANGGAL KOSONG",IF(AND(C10&gt;=Identitas!$B$32,C10&lt;=Identitas!$B$33),"Sesuai","DI LUAR PERIODE")))</f>
        <v>Sesuai</v>
      </c>
      <c r="M10" s="8"/>
    </row>
    <row r="11">
      <c r="A11" s="14">
        <v>6.0</v>
      </c>
      <c r="B11" s="13" t="str">
        <f>IF(I11="","",Identitas!$B$6&amp;"-"&amp;TEXT(Identitas!$B$15,"yyyymmdd")&amp;"-OP-"&amp;TEXT(A11,"000"))</f>
        <v>18.71.XX.XXXX-20261005-OP-006</v>
      </c>
      <c r="C11" s="12">
        <v>46300.0</v>
      </c>
      <c r="D11" s="6" t="s">
        <v>248</v>
      </c>
      <c r="E11" s="18">
        <v>1.0</v>
      </c>
      <c r="F11" s="8" t="s">
        <v>236</v>
      </c>
      <c r="G11" s="15">
        <v>60000.0</v>
      </c>
      <c r="H11" s="19">
        <f t="shared" si="1"/>
        <v>60000</v>
      </c>
      <c r="I11" s="8" t="s">
        <v>249</v>
      </c>
      <c r="J11" s="8" t="s">
        <v>250</v>
      </c>
      <c r="K11" s="14" t="str">
        <f>IF(I11="","",IF(COUNTIF(I_RegisterBukti!$C$5:$C$130,I11)&gt;1,"DUPLIKAT","Unik"))</f>
        <v>Unik</v>
      </c>
      <c r="L11" s="14" t="str">
        <f>IF(I11="","",IF(C11="","TANGGAL KOSONG",IF(AND(C11&gt;=Identitas!$B$32,C11&lt;=Identitas!$B$33),"Sesuai","DI LUAR PERIODE")))</f>
        <v>Sesuai</v>
      </c>
      <c r="M11" s="8"/>
    </row>
    <row r="12">
      <c r="A12" s="14">
        <v>7.0</v>
      </c>
      <c r="B12" s="13" t="str">
        <f>IF(I12="","",Identitas!$B$6&amp;"-"&amp;TEXT(Identitas!$B$15,"yyyymmdd")&amp;"-OP-"&amp;TEXT(A12,"000"))</f>
        <v>18.71.XX.XXXX-20261005-OP-007</v>
      </c>
      <c r="C12" s="12">
        <v>46300.0</v>
      </c>
      <c r="D12" s="6" t="s">
        <v>256</v>
      </c>
      <c r="E12" s="18">
        <v>10.0</v>
      </c>
      <c r="F12" s="8" t="s">
        <v>257</v>
      </c>
      <c r="G12" s="15">
        <v>6000.0</v>
      </c>
      <c r="H12" s="19">
        <f t="shared" si="1"/>
        <v>60000</v>
      </c>
      <c r="I12" s="8" t="s">
        <v>258</v>
      </c>
      <c r="J12" s="8" t="s">
        <v>259</v>
      </c>
      <c r="K12" s="14" t="str">
        <f>IF(I12="","",IF(COUNTIF(I_RegisterBukti!$C$5:$C$130,I12)&gt;1,"DUPLIKAT","Unik"))</f>
        <v>Unik</v>
      </c>
      <c r="L12" s="14" t="str">
        <f>IF(I12="","",IF(C12="","TANGGAL KOSONG",IF(AND(C12&gt;=Identitas!$B$32,C12&lt;=Identitas!$B$33),"Sesuai","DI LUAR PERIODE")))</f>
        <v>Sesuai</v>
      </c>
      <c r="M12" s="8"/>
    </row>
    <row r="13">
      <c r="A13" s="14">
        <v>8.0</v>
      </c>
      <c r="B13" s="13" t="str">
        <f>IF(I13="","",Identitas!$B$6&amp;"-"&amp;TEXT(Identitas!$B$15,"yyyymmdd")&amp;"-OP-"&amp;TEXT(A13,"000"))</f>
        <v>18.71.XX.XXXX-20261005-OP-008</v>
      </c>
      <c r="C13" s="12">
        <v>46300.0</v>
      </c>
      <c r="D13" s="6" t="s">
        <v>276</v>
      </c>
      <c r="E13" s="18">
        <v>4.0</v>
      </c>
      <c r="F13" s="8" t="s">
        <v>277</v>
      </c>
      <c r="G13" s="15">
        <v>230000.0</v>
      </c>
      <c r="H13" s="19">
        <f t="shared" si="1"/>
        <v>920000</v>
      </c>
      <c r="I13" s="8" t="s">
        <v>278</v>
      </c>
      <c r="J13" s="8" t="s">
        <v>279</v>
      </c>
      <c r="K13" s="14" t="str">
        <f>IF(I13="","",IF(COUNTIF(I_RegisterBukti!$C$5:$C$130,I13)&gt;1,"DUPLIKAT","Unik"))</f>
        <v>Unik</v>
      </c>
      <c r="L13" s="14" t="str">
        <f>IF(I13="","",IF(C13="","TANGGAL KOSONG",IF(AND(C13&gt;=Identitas!$B$32,C13&lt;=Identitas!$B$33),"Sesuai","DI LUAR PERIODE")))</f>
        <v>Sesuai</v>
      </c>
      <c r="M13" s="8"/>
    </row>
    <row r="14">
      <c r="A14" s="14">
        <v>9.0</v>
      </c>
      <c r="B14" s="13" t="str">
        <f>IF(I14="","",Identitas!$B$6&amp;"-"&amp;TEXT(Identitas!$B$15,"yyyymmdd")&amp;"-OP-"&amp;TEXT(A14,"000"))</f>
        <v/>
      </c>
      <c r="C14" s="12"/>
      <c r="D14" s="6" t="s">
        <v>285</v>
      </c>
      <c r="E14" s="18"/>
      <c r="F14" s="8"/>
      <c r="G14" s="15"/>
      <c r="H14" s="19">
        <f t="shared" si="1"/>
        <v>0</v>
      </c>
      <c r="I14" s="8"/>
      <c r="J14" s="8"/>
      <c r="K14" s="14" t="str">
        <f>IF(I14="","",IF(COUNTIF(I_RegisterBukti!$C$5:$C$130,I14)&gt;1,"DUPLIKAT","Unik"))</f>
        <v/>
      </c>
      <c r="L14" s="14" t="str">
        <f>IF(I14="","",IF(C14="","TANGGAL KOSONG",IF(AND(C14&gt;=Identitas!$B$32,C14&lt;=Identitas!$B$33),"Sesuai","DI LUAR PERIODE")))</f>
        <v/>
      </c>
      <c r="M14" s="8"/>
    </row>
    <row r="15">
      <c r="A15" s="14">
        <v>10.0</v>
      </c>
      <c r="B15" s="13" t="str">
        <f>IF(I15="","",Identitas!$B$6&amp;"-"&amp;TEXT(Identitas!$B$15,"yyyymmdd")&amp;"-OP-"&amp;TEXT(A15,"000"))</f>
        <v>18.71.XX.XXXX-20261005-OP-010</v>
      </c>
      <c r="C15" s="12">
        <v>46300.0</v>
      </c>
      <c r="D15" s="6" t="s">
        <v>287</v>
      </c>
      <c r="E15" s="18">
        <v>40.0</v>
      </c>
      <c r="F15" s="8" t="s">
        <v>224</v>
      </c>
      <c r="G15" s="15">
        <v>10000.0</v>
      </c>
      <c r="H15" s="19">
        <f t="shared" si="1"/>
        <v>400000</v>
      </c>
      <c r="I15" s="8" t="s">
        <v>290</v>
      </c>
      <c r="J15" s="8" t="s">
        <v>291</v>
      </c>
      <c r="K15" s="14" t="str">
        <f>IF(I15="","",IF(COUNTIF(I_RegisterBukti!$C$5:$C$130,I15)&gt;1,"DUPLIKAT","Unik"))</f>
        <v>Unik</v>
      </c>
      <c r="L15" s="14" t="str">
        <f>IF(I15="","",IF(C15="","TANGGAL KOSONG",IF(AND(C15&gt;=Identitas!$B$32,C15&lt;=Identitas!$B$33),"Sesuai","DI LUAR PERIODE")))</f>
        <v>Sesuai</v>
      </c>
      <c r="M15" s="8"/>
    </row>
    <row r="16">
      <c r="A16" s="14">
        <v>11.0</v>
      </c>
      <c r="B16" s="13" t="str">
        <f>IF(I16="","",Identitas!$B$6&amp;"-"&amp;TEXT(Identitas!$B$15,"yyyymmdd")&amp;"-OP-"&amp;TEXT(A16,"000"))</f>
        <v>18.71.XX.XXXX-20261005-OP-011</v>
      </c>
      <c r="C16" s="12">
        <v>46300.0</v>
      </c>
      <c r="D16" s="6" t="s">
        <v>303</v>
      </c>
      <c r="E16" s="18">
        <v>1.0</v>
      </c>
      <c r="F16" s="8" t="s">
        <v>236</v>
      </c>
      <c r="G16" s="15">
        <v>25000.0</v>
      </c>
      <c r="H16" s="19">
        <f t="shared" si="1"/>
        <v>25000</v>
      </c>
      <c r="I16" s="8" t="s">
        <v>305</v>
      </c>
      <c r="J16" s="8" t="s">
        <v>306</v>
      </c>
      <c r="K16" s="14" t="str">
        <f>IF(I16="","",IF(COUNTIF(I_RegisterBukti!$C$5:$C$130,I16)&gt;1,"DUPLIKAT","Unik"))</f>
        <v>Unik</v>
      </c>
      <c r="L16" s="14" t="str">
        <f>IF(I16="","",IF(C16="","TANGGAL KOSONG",IF(AND(C16&gt;=Identitas!$B$32,C16&lt;=Identitas!$B$33),"Sesuai","DI LUAR PERIODE")))</f>
        <v>Sesuai</v>
      </c>
      <c r="M16" s="8"/>
    </row>
    <row r="17">
      <c r="A17" s="14">
        <v>12.0</v>
      </c>
      <c r="B17" s="13" t="str">
        <f>IF(I17="","",Identitas!$B$6&amp;"-"&amp;TEXT(Identitas!$B$15,"yyyymmdd")&amp;"-OP-"&amp;TEXT(A17,"000"))</f>
        <v/>
      </c>
      <c r="C17" s="12"/>
      <c r="D17" s="6" t="s">
        <v>315</v>
      </c>
      <c r="E17" s="18"/>
      <c r="F17" s="8"/>
      <c r="G17" s="15"/>
      <c r="H17" s="19">
        <f t="shared" si="1"/>
        <v>0</v>
      </c>
      <c r="I17" s="8"/>
      <c r="J17" s="8"/>
      <c r="K17" s="14" t="str">
        <f>IF(I17="","",IF(COUNTIF(I_RegisterBukti!$C$5:$C$130,I17)&gt;1,"DUPLIKAT","Unik"))</f>
        <v/>
      </c>
      <c r="L17" s="14" t="str">
        <f>IF(I17="","",IF(C17="","TANGGAL KOSONG",IF(AND(C17&gt;=Identitas!$B$32,C17&lt;=Identitas!$B$33),"Sesuai","DI LUAR PERIODE")))</f>
        <v/>
      </c>
      <c r="M17" s="8"/>
    </row>
    <row r="18">
      <c r="A18" s="14">
        <v>13.0</v>
      </c>
      <c r="B18" s="13" t="str">
        <f>IF(I18="","",Identitas!$B$6&amp;"-"&amp;TEXT(Identitas!$B$15,"yyyymmdd")&amp;"-OP-"&amp;TEXT(A18,"000"))</f>
        <v>18.71.XX.XXXX-20261005-OP-013</v>
      </c>
      <c r="C18" s="12">
        <v>46300.0</v>
      </c>
      <c r="D18" s="6" t="s">
        <v>319</v>
      </c>
      <c r="E18" s="18">
        <v>1.0</v>
      </c>
      <c r="F18" s="8" t="s">
        <v>232</v>
      </c>
      <c r="G18" s="15">
        <v>75000.0</v>
      </c>
      <c r="H18" s="19">
        <f t="shared" si="1"/>
        <v>75000</v>
      </c>
      <c r="I18" s="8" t="s">
        <v>322</v>
      </c>
      <c r="J18" s="8" t="s">
        <v>323</v>
      </c>
      <c r="K18" s="14" t="str">
        <f>IF(I18="","",IF(COUNTIF(I_RegisterBukti!$C$5:$C$130,I18)&gt;1,"DUPLIKAT","Unik"))</f>
        <v>Unik</v>
      </c>
      <c r="L18" s="14" t="str">
        <f>IF(I18="","",IF(C18="","TANGGAL KOSONG",IF(AND(C18&gt;=Identitas!$B$32,C18&lt;=Identitas!$B$33),"Sesuai","DI LUAR PERIODE")))</f>
        <v>Sesuai</v>
      </c>
      <c r="M18" s="8"/>
    </row>
    <row r="19">
      <c r="A19" s="14">
        <v>14.0</v>
      </c>
      <c r="B19" s="13" t="str">
        <f>IF(I19="","",Identitas!$B$6&amp;"-"&amp;TEXT(Identitas!$B$15,"yyyymmdd")&amp;"-OP-"&amp;TEXT(A19,"000"))</f>
        <v>18.71.XX.XXXX-20261005-OP-014</v>
      </c>
      <c r="C19" s="12">
        <v>46300.0</v>
      </c>
      <c r="D19" s="6" t="s">
        <v>330</v>
      </c>
      <c r="E19" s="18">
        <v>1.0</v>
      </c>
      <c r="F19" s="8" t="s">
        <v>232</v>
      </c>
      <c r="G19" s="15">
        <v>120000.0</v>
      </c>
      <c r="H19" s="19">
        <f t="shared" si="1"/>
        <v>120000</v>
      </c>
      <c r="I19" s="8" t="s">
        <v>332</v>
      </c>
      <c r="J19" s="8" t="s">
        <v>333</v>
      </c>
      <c r="K19" s="14" t="str">
        <f>IF(I19="","",IF(COUNTIF(I_RegisterBukti!$C$5:$C$130,I19)&gt;1,"DUPLIKAT","Unik"))</f>
        <v>Unik</v>
      </c>
      <c r="L19" s="14" t="str">
        <f>IF(I19="","",IF(C19="","TANGGAL KOSONG",IF(AND(C19&gt;=Identitas!$B$32,C19&lt;=Identitas!$B$33),"Sesuai","DI LUAR PERIODE")))</f>
        <v>Sesuai</v>
      </c>
      <c r="M19" s="8"/>
    </row>
    <row r="20">
      <c r="A20" s="14">
        <v>15.0</v>
      </c>
      <c r="B20" s="13" t="str">
        <f>IF(I20="","",Identitas!$B$6&amp;"-"&amp;TEXT(Identitas!$B$15,"yyyymmdd")&amp;"-OP-"&amp;TEXT(A20,"000"))</f>
        <v/>
      </c>
      <c r="C20" s="12"/>
      <c r="D20" s="6" t="s">
        <v>342</v>
      </c>
      <c r="E20" s="18"/>
      <c r="F20" s="8"/>
      <c r="G20" s="15"/>
      <c r="H20" s="19">
        <f t="shared" si="1"/>
        <v>0</v>
      </c>
      <c r="I20" s="8"/>
      <c r="J20" s="8"/>
      <c r="K20" s="14" t="str">
        <f>IF(I20="","",IF(COUNTIF(I_RegisterBukti!$C$5:$C$130,I20)&gt;1,"DUPLIKAT","Unik"))</f>
        <v/>
      </c>
      <c r="L20" s="14" t="str">
        <f>IF(I20="","",IF(C20="","TANGGAL KOSONG",IF(AND(C20&gt;=Identitas!$B$32,C20&lt;=Identitas!$B$33),"Sesuai","DI LUAR PERIODE")))</f>
        <v/>
      </c>
      <c r="M20" s="8"/>
    </row>
    <row r="21" ht="15.75" customHeight="1">
      <c r="A21" s="14">
        <v>16.0</v>
      </c>
      <c r="B21" s="13" t="str">
        <f>IF(I21="","",Identitas!$B$6&amp;"-"&amp;TEXT(Identitas!$B$15,"yyyymmdd")&amp;"-OP-"&amp;TEXT(A21,"000"))</f>
        <v/>
      </c>
      <c r="C21" s="12"/>
      <c r="D21" s="6" t="s">
        <v>349</v>
      </c>
      <c r="E21" s="18"/>
      <c r="F21" s="8"/>
      <c r="G21" s="15"/>
      <c r="H21" s="19">
        <f t="shared" si="1"/>
        <v>0</v>
      </c>
      <c r="I21" s="8"/>
      <c r="J21" s="8"/>
      <c r="K21" s="14" t="str">
        <f>IF(I21="","",IF(COUNTIF(I_RegisterBukti!$C$5:$C$130,I21)&gt;1,"DUPLIKAT","Unik"))</f>
        <v/>
      </c>
      <c r="L21" s="14" t="str">
        <f>IF(I21="","",IF(C21="","TANGGAL KOSONG",IF(AND(C21&gt;=Identitas!$B$32,C21&lt;=Identitas!$B$33),"Sesuai","DI LUAR PERIODE")))</f>
        <v/>
      </c>
      <c r="M21" s="8"/>
    </row>
    <row r="22" ht="15.0" customHeight="1">
      <c r="A22" s="31" t="s">
        <v>355</v>
      </c>
      <c r="B22" s="32"/>
      <c r="C22" s="32"/>
      <c r="D22" s="32"/>
      <c r="E22" s="32"/>
      <c r="F22" s="32"/>
      <c r="G22" s="33"/>
      <c r="H22" s="35">
        <f>SUM(H6:H21)</f>
        <v>6790000</v>
      </c>
    </row>
    <row r="23" ht="15.75" customHeight="1"/>
    <row r="24" ht="36.0" customHeight="1">
      <c r="A24" s="37" t="s">
        <v>358</v>
      </c>
      <c r="B24" s="32"/>
      <c r="C24" s="32"/>
      <c r="D24" s="32"/>
      <c r="E24" s="32"/>
      <c r="F24" s="32"/>
      <c r="G24" s="33"/>
      <c r="H24" s="4" t="s">
        <v>359</v>
      </c>
    </row>
    <row r="25" ht="15.0" customHeight="1">
      <c r="A25" s="39" t="s">
        <v>361</v>
      </c>
      <c r="B25" s="32"/>
      <c r="C25" s="32"/>
      <c r="D25" s="32"/>
      <c r="E25" s="32"/>
      <c r="F25" s="32"/>
      <c r="G25" s="33"/>
      <c r="H25" s="24">
        <f>A_PM!C47</f>
        <v>2339</v>
      </c>
    </row>
    <row r="26" ht="15.0" customHeight="1">
      <c r="A26" s="39" t="s">
        <v>367</v>
      </c>
      <c r="B26" s="32"/>
      <c r="C26" s="32"/>
      <c r="D26" s="32"/>
      <c r="E26" s="32"/>
      <c r="F26" s="32"/>
      <c r="G26" s="33"/>
      <c r="H26" s="24">
        <f>IF(H25&gt;0,H22/H25,0)</f>
        <v>2902.949979</v>
      </c>
    </row>
    <row r="27" ht="15.0" customHeight="1">
      <c r="A27" s="39" t="s">
        <v>370</v>
      </c>
      <c r="B27" s="32"/>
      <c r="C27" s="32"/>
      <c r="D27" s="32"/>
      <c r="E27" s="32"/>
      <c r="F27" s="32"/>
      <c r="G27" s="33"/>
      <c r="H27" s="24">
        <f>Ref!B8*IF(Ref!B15="Ya",Identitas!B21,1)</f>
        <v>3150</v>
      </c>
    </row>
    <row r="28" ht="15.0" customHeight="1">
      <c r="A28" s="39" t="s">
        <v>373</v>
      </c>
      <c r="B28" s="32"/>
      <c r="C28" s="32"/>
      <c r="D28" s="32"/>
      <c r="E28" s="32"/>
      <c r="F28" s="32"/>
      <c r="G28" s="33"/>
      <c r="H28" s="16" t="str">
        <f>IF(H26&lt;=H27,"Dalam pagu","Melebihi pagu: jelaskan")</f>
        <v>Dalam pagu</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2:G22"/>
    <mergeCell ref="A24:G24"/>
    <mergeCell ref="A25:G25"/>
    <mergeCell ref="A26:G26"/>
    <mergeCell ref="A27:G27"/>
    <mergeCell ref="A28:G28"/>
  </mergeCells>
  <conditionalFormatting sqref="K6:L21">
    <cfRule type="cellIs" dxfId="0" priority="1" operator="equal">
      <formula>"DUPLIKAT"</formula>
    </cfRule>
  </conditionalFormatting>
  <conditionalFormatting sqref="K6:L21">
    <cfRule type="cellIs" dxfId="0" priority="2" operator="equal">
      <formula>"DI LUAR PERIODE"</formula>
    </cfRule>
  </conditionalFormatting>
  <conditionalFormatting sqref="K6:L21">
    <cfRule type="cellIs" dxfId="0" priority="3" operator="equal">
      <formula>"TANGGAL KOSONG"</formula>
    </cfRule>
  </conditionalFormatting>
  <conditionalFormatting sqref="K6:L21">
    <cfRule type="cellIs" dxfId="0" priority="4" operator="equal">
      <formula>"BELUM LENGKAP"</formula>
    </cfRule>
  </conditionalFormatting>
  <conditionalFormatting sqref="K6:L21">
    <cfRule type="cellIs" dxfId="0" priority="5" operator="equal">
      <formula>"BELUM ADA LINK"</formula>
    </cfRule>
  </conditionalFormatting>
  <dataValidations>
    <dataValidation type="custom" allowBlank="1" showInputMessage="1" showErrorMessage="1" prompt="Link tidak valid - Isi dengan tautan https:// ke lokasi unggah Cloud SIPGN." sqref="J7:J21">
      <formula1>OR(J7="",LEFT(J7,8)="https://")</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5.0"/>
    <col customWidth="1" min="2" max="2" width="30.0"/>
    <col customWidth="1" min="3" max="3" width="20.0"/>
    <col customWidth="1" min="4" max="4" width="18.0"/>
    <col customWidth="1" min="5" max="5" width="13.0"/>
    <col customWidth="1" min="6" max="6" width="9.0"/>
    <col customWidth="1" min="7" max="7" width="13.0"/>
    <col customWidth="1" min="8" max="8" width="15.0"/>
    <col customWidth="1" min="9" max="9" width="11.0"/>
    <col customWidth="1" min="10" max="10" width="15.0"/>
    <col customWidth="1" min="11" max="11" width="44.0"/>
    <col customWidth="1" min="12" max="12" width="13.0"/>
    <col customWidth="1" min="13" max="14" width="15.0"/>
    <col customWidth="1" min="15" max="26" width="8.71"/>
  </cols>
  <sheetData>
    <row r="1">
      <c r="A1" s="1" t="s">
        <v>262</v>
      </c>
    </row>
    <row r="2">
      <c r="A2" s="2" t="s">
        <v>264</v>
      </c>
    </row>
    <row r="5" ht="36.0" customHeight="1">
      <c r="A5" s="4" t="s">
        <v>85</v>
      </c>
      <c r="B5" s="4" t="s">
        <v>86</v>
      </c>
      <c r="C5" s="4" t="s">
        <v>266</v>
      </c>
      <c r="D5" s="4" t="s">
        <v>267</v>
      </c>
      <c r="E5" s="4" t="s">
        <v>268</v>
      </c>
      <c r="F5" s="4" t="s">
        <v>269</v>
      </c>
      <c r="G5" s="4" t="s">
        <v>270</v>
      </c>
      <c r="H5" s="4" t="s">
        <v>271</v>
      </c>
      <c r="I5" s="4" t="s">
        <v>272</v>
      </c>
      <c r="J5" s="4" t="s">
        <v>273</v>
      </c>
      <c r="K5" s="4" t="s">
        <v>274</v>
      </c>
      <c r="L5" s="4" t="s">
        <v>99</v>
      </c>
      <c r="M5" s="4" t="s">
        <v>101</v>
      </c>
      <c r="N5" s="4" t="s">
        <v>275</v>
      </c>
    </row>
    <row r="6">
      <c r="A6" s="14">
        <v>1.0</v>
      </c>
      <c r="B6" s="13" t="str">
        <f>IF(C6="","",Identitas!$B$6&amp;"-"&amp;TEXT(Identitas!$B$15,"yyyymmdd")&amp;"-RL-"&amp;TEXT(A6,"000"))</f>
        <v>18.71.XX.XXXX-20261005-RL-001</v>
      </c>
      <c r="C6" s="8" t="s">
        <v>281</v>
      </c>
      <c r="D6" s="8" t="s">
        <v>282</v>
      </c>
      <c r="E6" s="12">
        <v>46300.0</v>
      </c>
      <c r="F6" s="34">
        <v>1.0</v>
      </c>
      <c r="G6" s="15">
        <v>90000.0</v>
      </c>
      <c r="H6" s="19">
        <f t="shared" ref="H6:H65" si="1">IF(OR(F6="",G6=""),0,F6*G6)</f>
        <v>90000</v>
      </c>
      <c r="I6" s="8" t="s">
        <v>283</v>
      </c>
      <c r="J6" s="8" t="s">
        <v>284</v>
      </c>
      <c r="K6" s="8" t="s">
        <v>286</v>
      </c>
      <c r="L6" s="14" t="str">
        <f>IF(J6="","",IF(COUNTIF(I_RegisterBukti!$C$5:$C$130,J6)&gt;1,"DUPLIKAT","Unik"))</f>
        <v>Unik</v>
      </c>
      <c r="M6" s="14" t="str">
        <f>IF(C6="","",IF(E6="","TANGGAL KOSONG",IF(AND(E6&gt;=Identitas!$B$32,E6&lt;=Identitas!$B$33),"Sesuai","DI LUAR PERIODE")))</f>
        <v>Sesuai</v>
      </c>
      <c r="N6" s="14" t="str">
        <f t="shared" ref="N6:N65" si="2">IF(N(H6)=0,"",IF(AND(J6&lt;&gt;"",LEFT(K6,8)="https://"),"Lengkap","BELUM LENGKAP"))</f>
        <v>Lengkap</v>
      </c>
    </row>
    <row r="7">
      <c r="A7" s="14">
        <v>2.0</v>
      </c>
      <c r="B7" s="13" t="str">
        <f>IF(C7="","",Identitas!$B$6&amp;"-"&amp;TEXT(Identitas!$B$15,"yyyymmdd")&amp;"-RL-"&amp;TEXT(A7,"000"))</f>
        <v>18.71.XX.XXXX-20261005-RL-002</v>
      </c>
      <c r="C7" s="8" t="s">
        <v>297</v>
      </c>
      <c r="D7" s="8" t="s">
        <v>282</v>
      </c>
      <c r="E7" s="12">
        <v>46300.0</v>
      </c>
      <c r="F7" s="34">
        <v>1.0</v>
      </c>
      <c r="G7" s="15">
        <v>90000.0</v>
      </c>
      <c r="H7" s="19">
        <f t="shared" si="1"/>
        <v>90000</v>
      </c>
      <c r="I7" s="8" t="s">
        <v>283</v>
      </c>
      <c r="J7" s="8" t="s">
        <v>299</v>
      </c>
      <c r="K7" s="8" t="s">
        <v>300</v>
      </c>
      <c r="L7" s="14" t="str">
        <f>IF(J7="","",IF(COUNTIF(I_RegisterBukti!$C$5:$C$130,J7)&gt;1,"DUPLIKAT","Unik"))</f>
        <v>Unik</v>
      </c>
      <c r="M7" s="14" t="str">
        <f>IF(C7="","",IF(E7="","TANGGAL KOSONG",IF(AND(E7&gt;=Identitas!$B$32,E7&lt;=Identitas!$B$33),"Sesuai","DI LUAR PERIODE")))</f>
        <v>Sesuai</v>
      </c>
      <c r="N7" s="14" t="str">
        <f t="shared" si="2"/>
        <v>Lengkap</v>
      </c>
    </row>
    <row r="8">
      <c r="A8" s="14">
        <v>3.0</v>
      </c>
      <c r="B8" s="13" t="str">
        <f>IF(C8="","",Identitas!$B$6&amp;"-"&amp;TEXT(Identitas!$B$15,"yyyymmdd")&amp;"-RL-"&amp;TEXT(A8,"000"))</f>
        <v>18.71.XX.XXXX-20261005-RL-003</v>
      </c>
      <c r="C8" s="8" t="s">
        <v>312</v>
      </c>
      <c r="D8" s="8" t="s">
        <v>282</v>
      </c>
      <c r="E8" s="12">
        <v>46300.0</v>
      </c>
      <c r="F8" s="34">
        <v>1.0</v>
      </c>
      <c r="G8" s="15">
        <v>90000.0</v>
      </c>
      <c r="H8" s="19">
        <f t="shared" si="1"/>
        <v>90000</v>
      </c>
      <c r="I8" s="8" t="s">
        <v>283</v>
      </c>
      <c r="J8" s="8" t="s">
        <v>313</v>
      </c>
      <c r="K8" s="8" t="s">
        <v>314</v>
      </c>
      <c r="L8" s="14" t="str">
        <f>IF(J8="","",IF(COUNTIF(I_RegisterBukti!$C$5:$C$130,J8)&gt;1,"DUPLIKAT","Unik"))</f>
        <v>Unik</v>
      </c>
      <c r="M8" s="14" t="str">
        <f>IF(C8="","",IF(E8="","TANGGAL KOSONG",IF(AND(E8&gt;=Identitas!$B$32,E8&lt;=Identitas!$B$33),"Sesuai","DI LUAR PERIODE")))</f>
        <v>Sesuai</v>
      </c>
      <c r="N8" s="14" t="str">
        <f t="shared" si="2"/>
        <v>Lengkap</v>
      </c>
    </row>
    <row r="9">
      <c r="A9" s="14">
        <v>4.0</v>
      </c>
      <c r="B9" s="13" t="str">
        <f>IF(C9="","",Identitas!$B$6&amp;"-"&amp;TEXT(Identitas!$B$15,"yyyymmdd")&amp;"-RL-"&amp;TEXT(A9,"000"))</f>
        <v>18.71.XX.XXXX-20261005-RL-004</v>
      </c>
      <c r="C9" s="8" t="s">
        <v>320</v>
      </c>
      <c r="D9" s="8" t="s">
        <v>282</v>
      </c>
      <c r="E9" s="12">
        <v>46300.0</v>
      </c>
      <c r="F9" s="34">
        <v>1.0</v>
      </c>
      <c r="G9" s="15">
        <v>90000.0</v>
      </c>
      <c r="H9" s="19">
        <f t="shared" si="1"/>
        <v>90000</v>
      </c>
      <c r="I9" s="8" t="s">
        <v>283</v>
      </c>
      <c r="J9" s="8" t="s">
        <v>324</v>
      </c>
      <c r="K9" s="8" t="s">
        <v>325</v>
      </c>
      <c r="L9" s="14" t="str">
        <f>IF(J9="","",IF(COUNTIF(I_RegisterBukti!$C$5:$C$130,J9)&gt;1,"DUPLIKAT","Unik"))</f>
        <v>Unik</v>
      </c>
      <c r="M9" s="14" t="str">
        <f>IF(C9="","",IF(E9="","TANGGAL KOSONG",IF(AND(E9&gt;=Identitas!$B$32,E9&lt;=Identitas!$B$33),"Sesuai","DI LUAR PERIODE")))</f>
        <v>Sesuai</v>
      </c>
      <c r="N9" s="14" t="str">
        <f t="shared" si="2"/>
        <v>Lengkap</v>
      </c>
    </row>
    <row r="10">
      <c r="A10" s="14">
        <v>5.0</v>
      </c>
      <c r="B10" s="13" t="str">
        <f>IF(C10="","",Identitas!$B$6&amp;"-"&amp;TEXT(Identitas!$B$15,"yyyymmdd")&amp;"-RL-"&amp;TEXT(A10,"000"))</f>
        <v>18.71.XX.XXXX-20261005-RL-005</v>
      </c>
      <c r="C10" s="8" t="s">
        <v>335</v>
      </c>
      <c r="D10" s="8" t="s">
        <v>282</v>
      </c>
      <c r="E10" s="12">
        <v>46300.0</v>
      </c>
      <c r="F10" s="34">
        <v>1.0</v>
      </c>
      <c r="G10" s="15">
        <v>90000.0</v>
      </c>
      <c r="H10" s="19">
        <f t="shared" si="1"/>
        <v>90000</v>
      </c>
      <c r="I10" s="8" t="s">
        <v>283</v>
      </c>
      <c r="J10" s="8" t="s">
        <v>336</v>
      </c>
      <c r="K10" s="8" t="s">
        <v>337</v>
      </c>
      <c r="L10" s="14" t="str">
        <f>IF(J10="","",IF(COUNTIF(I_RegisterBukti!$C$5:$C$130,J10)&gt;1,"DUPLIKAT","Unik"))</f>
        <v>Unik</v>
      </c>
      <c r="M10" s="14" t="str">
        <f>IF(C10="","",IF(E10="","TANGGAL KOSONG",IF(AND(E10&gt;=Identitas!$B$32,E10&lt;=Identitas!$B$33),"Sesuai","DI LUAR PERIODE")))</f>
        <v>Sesuai</v>
      </c>
      <c r="N10" s="14" t="str">
        <f t="shared" si="2"/>
        <v>Lengkap</v>
      </c>
    </row>
    <row r="11">
      <c r="A11" s="14">
        <v>6.0</v>
      </c>
      <c r="B11" s="13" t="str">
        <f>IF(C11="","",Identitas!$B$6&amp;"-"&amp;TEXT(Identitas!$B$15,"yyyymmdd")&amp;"-RL-"&amp;TEXT(A11,"000"))</f>
        <v>18.71.XX.XXXX-20261005-RL-006</v>
      </c>
      <c r="C11" s="8" t="s">
        <v>344</v>
      </c>
      <c r="D11" s="8" t="s">
        <v>282</v>
      </c>
      <c r="E11" s="12">
        <v>46300.0</v>
      </c>
      <c r="F11" s="34">
        <v>1.0</v>
      </c>
      <c r="G11" s="15">
        <v>90000.0</v>
      </c>
      <c r="H11" s="19">
        <f t="shared" si="1"/>
        <v>90000</v>
      </c>
      <c r="I11" s="8" t="s">
        <v>283</v>
      </c>
      <c r="J11" s="8" t="s">
        <v>345</v>
      </c>
      <c r="K11" s="8" t="s">
        <v>346</v>
      </c>
      <c r="L11" s="14" t="str">
        <f>IF(J11="","",IF(COUNTIF(I_RegisterBukti!$C$5:$C$130,J11)&gt;1,"DUPLIKAT","Unik"))</f>
        <v>Unik</v>
      </c>
      <c r="M11" s="14" t="str">
        <f>IF(C11="","",IF(E11="","TANGGAL KOSONG",IF(AND(E11&gt;=Identitas!$B$32,E11&lt;=Identitas!$B$33),"Sesuai","DI LUAR PERIODE")))</f>
        <v>Sesuai</v>
      </c>
      <c r="N11" s="14" t="str">
        <f t="shared" si="2"/>
        <v>Lengkap</v>
      </c>
    </row>
    <row r="12">
      <c r="A12" s="14">
        <v>7.0</v>
      </c>
      <c r="B12" s="13" t="str">
        <f>IF(C12="","",Identitas!$B$6&amp;"-"&amp;TEXT(Identitas!$B$15,"yyyymmdd")&amp;"-RL-"&amp;TEXT(A12,"000"))</f>
        <v>18.71.XX.XXXX-20261005-RL-007</v>
      </c>
      <c r="C12" s="8" t="s">
        <v>351</v>
      </c>
      <c r="D12" s="8" t="s">
        <v>282</v>
      </c>
      <c r="E12" s="12">
        <v>46300.0</v>
      </c>
      <c r="F12" s="34">
        <v>1.0</v>
      </c>
      <c r="G12" s="15">
        <v>90000.0</v>
      </c>
      <c r="H12" s="19">
        <f t="shared" si="1"/>
        <v>90000</v>
      </c>
      <c r="I12" s="8" t="s">
        <v>283</v>
      </c>
      <c r="J12" s="8" t="s">
        <v>352</v>
      </c>
      <c r="K12" s="8" t="s">
        <v>353</v>
      </c>
      <c r="L12" s="14" t="str">
        <f>IF(J12="","",IF(COUNTIF(I_RegisterBukti!$C$5:$C$130,J12)&gt;1,"DUPLIKAT","Unik"))</f>
        <v>Unik</v>
      </c>
      <c r="M12" s="14" t="str">
        <f>IF(C12="","",IF(E12="","TANGGAL KOSONG",IF(AND(E12&gt;=Identitas!$B$32,E12&lt;=Identitas!$B$33),"Sesuai","DI LUAR PERIODE")))</f>
        <v>Sesuai</v>
      </c>
      <c r="N12" s="14" t="str">
        <f t="shared" si="2"/>
        <v>Lengkap</v>
      </c>
    </row>
    <row r="13">
      <c r="A13" s="14">
        <v>8.0</v>
      </c>
      <c r="B13" s="13" t="str">
        <f>IF(C13="","",Identitas!$B$6&amp;"-"&amp;TEXT(Identitas!$B$15,"yyyymmdd")&amp;"-RL-"&amp;TEXT(A13,"000"))</f>
        <v>18.71.XX.XXXX-20261005-RL-008</v>
      </c>
      <c r="C13" s="8" t="s">
        <v>362</v>
      </c>
      <c r="D13" s="8" t="s">
        <v>282</v>
      </c>
      <c r="E13" s="12">
        <v>46300.0</v>
      </c>
      <c r="F13" s="34">
        <v>1.0</v>
      </c>
      <c r="G13" s="15">
        <v>90000.0</v>
      </c>
      <c r="H13" s="19">
        <f t="shared" si="1"/>
        <v>90000</v>
      </c>
      <c r="I13" s="8" t="s">
        <v>283</v>
      </c>
      <c r="J13" s="8" t="s">
        <v>364</v>
      </c>
      <c r="K13" s="8" t="s">
        <v>365</v>
      </c>
      <c r="L13" s="14" t="str">
        <f>IF(J13="","",IF(COUNTIF(I_RegisterBukti!$C$5:$C$130,J13)&gt;1,"DUPLIKAT","Unik"))</f>
        <v>Unik</v>
      </c>
      <c r="M13" s="14" t="str">
        <f>IF(C13="","",IF(E13="","TANGGAL KOSONG",IF(AND(E13&gt;=Identitas!$B$32,E13&lt;=Identitas!$B$33),"Sesuai","DI LUAR PERIODE")))</f>
        <v>Sesuai</v>
      </c>
      <c r="N13" s="14" t="str">
        <f t="shared" si="2"/>
        <v>Lengkap</v>
      </c>
    </row>
    <row r="14">
      <c r="A14" s="14">
        <v>9.0</v>
      </c>
      <c r="B14" s="13" t="str">
        <f>IF(C14="","",Identitas!$B$6&amp;"-"&amp;TEXT(Identitas!$B$15,"yyyymmdd")&amp;"-RL-"&amp;TEXT(A14,"000"))</f>
        <v>18.71.XX.XXXX-20261005-RL-009</v>
      </c>
      <c r="C14" s="8" t="s">
        <v>375</v>
      </c>
      <c r="D14" s="8" t="s">
        <v>282</v>
      </c>
      <c r="E14" s="12">
        <v>46300.0</v>
      </c>
      <c r="F14" s="34">
        <v>1.0</v>
      </c>
      <c r="G14" s="15">
        <v>90000.0</v>
      </c>
      <c r="H14" s="19">
        <f t="shared" si="1"/>
        <v>90000</v>
      </c>
      <c r="I14" s="8" t="s">
        <v>283</v>
      </c>
      <c r="J14" s="8" t="s">
        <v>376</v>
      </c>
      <c r="K14" s="8" t="s">
        <v>377</v>
      </c>
      <c r="L14" s="14" t="str">
        <f>IF(J14="","",IF(COUNTIF(I_RegisterBukti!$C$5:$C$130,J14)&gt;1,"DUPLIKAT","Unik"))</f>
        <v>Unik</v>
      </c>
      <c r="M14" s="14" t="str">
        <f>IF(C14="","",IF(E14="","TANGGAL KOSONG",IF(AND(E14&gt;=Identitas!$B$32,E14&lt;=Identitas!$B$33),"Sesuai","DI LUAR PERIODE")))</f>
        <v>Sesuai</v>
      </c>
      <c r="N14" s="14" t="str">
        <f t="shared" si="2"/>
        <v>Lengkap</v>
      </c>
    </row>
    <row r="15">
      <c r="A15" s="14">
        <v>10.0</v>
      </c>
      <c r="B15" s="13" t="str">
        <f>IF(C15="","",Identitas!$B$6&amp;"-"&amp;TEXT(Identitas!$B$15,"yyyymmdd")&amp;"-RL-"&amp;TEXT(A15,"000"))</f>
        <v>18.71.XX.XXXX-20261005-RL-010</v>
      </c>
      <c r="C15" s="8" t="s">
        <v>382</v>
      </c>
      <c r="D15" s="8" t="s">
        <v>282</v>
      </c>
      <c r="E15" s="12">
        <v>46300.0</v>
      </c>
      <c r="F15" s="34">
        <v>1.0</v>
      </c>
      <c r="G15" s="15">
        <v>90000.0</v>
      </c>
      <c r="H15" s="19">
        <f t="shared" si="1"/>
        <v>90000</v>
      </c>
      <c r="I15" s="8" t="s">
        <v>283</v>
      </c>
      <c r="J15" s="8" t="s">
        <v>384</v>
      </c>
      <c r="K15" s="8" t="s">
        <v>386</v>
      </c>
      <c r="L15" s="14" t="str">
        <f>IF(J15="","",IF(COUNTIF(I_RegisterBukti!$C$5:$C$130,J15)&gt;1,"DUPLIKAT","Unik"))</f>
        <v>Unik</v>
      </c>
      <c r="M15" s="14" t="str">
        <f>IF(C15="","",IF(E15="","TANGGAL KOSONG",IF(AND(E15&gt;=Identitas!$B$32,E15&lt;=Identitas!$B$33),"Sesuai","DI LUAR PERIODE")))</f>
        <v>Sesuai</v>
      </c>
      <c r="N15" s="14" t="str">
        <f t="shared" si="2"/>
        <v>Lengkap</v>
      </c>
    </row>
    <row r="16">
      <c r="A16" s="14">
        <v>11.0</v>
      </c>
      <c r="B16" s="13" t="str">
        <f>IF(C16="","",Identitas!$B$6&amp;"-"&amp;TEXT(Identitas!$B$15,"yyyymmdd")&amp;"-RL-"&amp;TEXT(A16,"000"))</f>
        <v>18.71.XX.XXXX-20261005-RL-011</v>
      </c>
      <c r="C16" s="8" t="s">
        <v>389</v>
      </c>
      <c r="D16" s="8" t="s">
        <v>282</v>
      </c>
      <c r="E16" s="12">
        <v>46300.0</v>
      </c>
      <c r="F16" s="34">
        <v>1.0</v>
      </c>
      <c r="G16" s="15">
        <v>90000.0</v>
      </c>
      <c r="H16" s="19">
        <f t="shared" si="1"/>
        <v>90000</v>
      </c>
      <c r="I16" s="8" t="s">
        <v>283</v>
      </c>
      <c r="J16" s="8" t="s">
        <v>390</v>
      </c>
      <c r="K16" s="8" t="s">
        <v>391</v>
      </c>
      <c r="L16" s="14" t="str">
        <f>IF(J16="","",IF(COUNTIF(I_RegisterBukti!$C$5:$C$130,J16)&gt;1,"DUPLIKAT","Unik"))</f>
        <v>Unik</v>
      </c>
      <c r="M16" s="14" t="str">
        <f>IF(C16="","",IF(E16="","TANGGAL KOSONG",IF(AND(E16&gt;=Identitas!$B$32,E16&lt;=Identitas!$B$33),"Sesuai","DI LUAR PERIODE")))</f>
        <v>Sesuai</v>
      </c>
      <c r="N16" s="14" t="str">
        <f t="shared" si="2"/>
        <v>Lengkap</v>
      </c>
    </row>
    <row r="17">
      <c r="A17" s="14">
        <v>12.0</v>
      </c>
      <c r="B17" s="13" t="str">
        <f>IF(C17="","",Identitas!$B$6&amp;"-"&amp;TEXT(Identitas!$B$15,"yyyymmdd")&amp;"-RL-"&amp;TEXT(A17,"000"))</f>
        <v>18.71.XX.XXXX-20261005-RL-012</v>
      </c>
      <c r="C17" s="8" t="s">
        <v>392</v>
      </c>
      <c r="D17" s="8" t="s">
        <v>282</v>
      </c>
      <c r="E17" s="12">
        <v>46300.0</v>
      </c>
      <c r="F17" s="34">
        <v>1.0</v>
      </c>
      <c r="G17" s="15">
        <v>90000.0</v>
      </c>
      <c r="H17" s="19">
        <f t="shared" si="1"/>
        <v>90000</v>
      </c>
      <c r="I17" s="8" t="s">
        <v>283</v>
      </c>
      <c r="J17" s="8" t="s">
        <v>393</v>
      </c>
      <c r="K17" s="8" t="s">
        <v>394</v>
      </c>
      <c r="L17" s="14" t="str">
        <f>IF(J17="","",IF(COUNTIF(I_RegisterBukti!$C$5:$C$130,J17)&gt;1,"DUPLIKAT","Unik"))</f>
        <v>Unik</v>
      </c>
      <c r="M17" s="14" t="str">
        <f>IF(C17="","",IF(E17="","TANGGAL KOSONG",IF(AND(E17&gt;=Identitas!$B$32,E17&lt;=Identitas!$B$33),"Sesuai","DI LUAR PERIODE")))</f>
        <v>Sesuai</v>
      </c>
      <c r="N17" s="14" t="str">
        <f t="shared" si="2"/>
        <v>Lengkap</v>
      </c>
    </row>
    <row r="18">
      <c r="A18" s="14">
        <v>13.0</v>
      </c>
      <c r="B18" s="13" t="str">
        <f>IF(C18="","",Identitas!$B$6&amp;"-"&amp;TEXT(Identitas!$B$15,"yyyymmdd")&amp;"-RL-"&amp;TEXT(A18,"000"))</f>
        <v>18.71.XX.XXXX-20261005-RL-013</v>
      </c>
      <c r="C18" s="8" t="s">
        <v>395</v>
      </c>
      <c r="D18" s="8" t="s">
        <v>396</v>
      </c>
      <c r="E18" s="12">
        <v>46300.0</v>
      </c>
      <c r="F18" s="34">
        <v>1.0</v>
      </c>
      <c r="G18" s="15">
        <v>90000.0</v>
      </c>
      <c r="H18" s="19">
        <f t="shared" si="1"/>
        <v>90000</v>
      </c>
      <c r="I18" s="8" t="s">
        <v>283</v>
      </c>
      <c r="J18" s="8" t="s">
        <v>397</v>
      </c>
      <c r="K18" s="8" t="s">
        <v>398</v>
      </c>
      <c r="L18" s="14" t="str">
        <f>IF(J18="","",IF(COUNTIF(I_RegisterBukti!$C$5:$C$130,J18)&gt;1,"DUPLIKAT","Unik"))</f>
        <v>Unik</v>
      </c>
      <c r="M18" s="14" t="str">
        <f>IF(C18="","",IF(E18="","TANGGAL KOSONG",IF(AND(E18&gt;=Identitas!$B$32,E18&lt;=Identitas!$B$33),"Sesuai","DI LUAR PERIODE")))</f>
        <v>Sesuai</v>
      </c>
      <c r="N18" s="14" t="str">
        <f t="shared" si="2"/>
        <v>Lengkap</v>
      </c>
    </row>
    <row r="19">
      <c r="A19" s="14">
        <v>14.0</v>
      </c>
      <c r="B19" s="13" t="str">
        <f>IF(C19="","",Identitas!$B$6&amp;"-"&amp;TEXT(Identitas!$B$15,"yyyymmdd")&amp;"-RL-"&amp;TEXT(A19,"000"))</f>
        <v>18.71.XX.XXXX-20261005-RL-014</v>
      </c>
      <c r="C19" s="8" t="s">
        <v>400</v>
      </c>
      <c r="D19" s="8" t="s">
        <v>396</v>
      </c>
      <c r="E19" s="12">
        <v>46300.0</v>
      </c>
      <c r="F19" s="34">
        <v>1.0</v>
      </c>
      <c r="G19" s="15">
        <v>90000.0</v>
      </c>
      <c r="H19" s="19">
        <f t="shared" si="1"/>
        <v>90000</v>
      </c>
      <c r="I19" s="8" t="s">
        <v>283</v>
      </c>
      <c r="J19" s="8" t="s">
        <v>401</v>
      </c>
      <c r="K19" s="8" t="s">
        <v>402</v>
      </c>
      <c r="L19" s="14" t="str">
        <f>IF(J19="","",IF(COUNTIF(I_RegisterBukti!$C$5:$C$130,J19)&gt;1,"DUPLIKAT","Unik"))</f>
        <v>Unik</v>
      </c>
      <c r="M19" s="14" t="str">
        <f>IF(C19="","",IF(E19="","TANGGAL KOSONG",IF(AND(E19&gt;=Identitas!$B$32,E19&lt;=Identitas!$B$33),"Sesuai","DI LUAR PERIODE")))</f>
        <v>Sesuai</v>
      </c>
      <c r="N19" s="14" t="str">
        <f t="shared" si="2"/>
        <v>Lengkap</v>
      </c>
    </row>
    <row r="20">
      <c r="A20" s="14">
        <v>15.0</v>
      </c>
      <c r="B20" s="13" t="str">
        <f>IF(C20="","",Identitas!$B$6&amp;"-"&amp;TEXT(Identitas!$B$15,"yyyymmdd")&amp;"-RL-"&amp;TEXT(A20,"000"))</f>
        <v>18.71.XX.XXXX-20261005-RL-015</v>
      </c>
      <c r="C20" s="8" t="s">
        <v>406</v>
      </c>
      <c r="D20" s="8" t="s">
        <v>396</v>
      </c>
      <c r="E20" s="12">
        <v>46300.0</v>
      </c>
      <c r="F20" s="34">
        <v>1.0</v>
      </c>
      <c r="G20" s="15">
        <v>90000.0</v>
      </c>
      <c r="H20" s="19">
        <f t="shared" si="1"/>
        <v>90000</v>
      </c>
      <c r="I20" s="8" t="s">
        <v>283</v>
      </c>
      <c r="J20" s="8" t="s">
        <v>407</v>
      </c>
      <c r="K20" s="8" t="s">
        <v>408</v>
      </c>
      <c r="L20" s="14" t="str">
        <f>IF(J20="","",IF(COUNTIF(I_RegisterBukti!$C$5:$C$130,J20)&gt;1,"DUPLIKAT","Unik"))</f>
        <v>Unik</v>
      </c>
      <c r="M20" s="14" t="str">
        <f>IF(C20="","",IF(E20="","TANGGAL KOSONG",IF(AND(E20&gt;=Identitas!$B$32,E20&lt;=Identitas!$B$33),"Sesuai","DI LUAR PERIODE")))</f>
        <v>Sesuai</v>
      </c>
      <c r="N20" s="14" t="str">
        <f t="shared" si="2"/>
        <v>Lengkap</v>
      </c>
    </row>
    <row r="21" ht="15.75" customHeight="1">
      <c r="A21" s="14">
        <v>16.0</v>
      </c>
      <c r="B21" s="13" t="str">
        <f>IF(C21="","",Identitas!$B$6&amp;"-"&amp;TEXT(Identitas!$B$15,"yyyymmdd")&amp;"-RL-"&amp;TEXT(A21,"000"))</f>
        <v>18.71.XX.XXXX-20261005-RL-016</v>
      </c>
      <c r="C21" s="8" t="s">
        <v>409</v>
      </c>
      <c r="D21" s="8" t="s">
        <v>396</v>
      </c>
      <c r="E21" s="12">
        <v>46300.0</v>
      </c>
      <c r="F21" s="34">
        <v>1.0</v>
      </c>
      <c r="G21" s="15">
        <v>90000.0</v>
      </c>
      <c r="H21" s="19">
        <f t="shared" si="1"/>
        <v>90000</v>
      </c>
      <c r="I21" s="8" t="s">
        <v>283</v>
      </c>
      <c r="J21" s="8" t="s">
        <v>410</v>
      </c>
      <c r="K21" s="8" t="s">
        <v>411</v>
      </c>
      <c r="L21" s="14" t="str">
        <f>IF(J21="","",IF(COUNTIF(I_RegisterBukti!$C$5:$C$130,J21)&gt;1,"DUPLIKAT","Unik"))</f>
        <v>Unik</v>
      </c>
      <c r="M21" s="14" t="str">
        <f>IF(C21="","",IF(E21="","TANGGAL KOSONG",IF(AND(E21&gt;=Identitas!$B$32,E21&lt;=Identitas!$B$33),"Sesuai","DI LUAR PERIODE")))</f>
        <v>Sesuai</v>
      </c>
      <c r="N21" s="14" t="str">
        <f t="shared" si="2"/>
        <v>Lengkap</v>
      </c>
    </row>
    <row r="22" ht="15.75" customHeight="1">
      <c r="A22" s="14">
        <v>17.0</v>
      </c>
      <c r="B22" s="13" t="str">
        <f>IF(C22="","",Identitas!$B$6&amp;"-"&amp;TEXT(Identitas!$B$15,"yyyymmdd")&amp;"-RL-"&amp;TEXT(A22,"000"))</f>
        <v>18.71.XX.XXXX-20261005-RL-017</v>
      </c>
      <c r="C22" s="8" t="s">
        <v>419</v>
      </c>
      <c r="D22" s="8" t="s">
        <v>396</v>
      </c>
      <c r="E22" s="12">
        <v>46300.0</v>
      </c>
      <c r="F22" s="34">
        <v>1.0</v>
      </c>
      <c r="G22" s="15">
        <v>90000.0</v>
      </c>
      <c r="H22" s="19">
        <f t="shared" si="1"/>
        <v>90000</v>
      </c>
      <c r="I22" s="8" t="s">
        <v>283</v>
      </c>
      <c r="J22" s="8" t="s">
        <v>423</v>
      </c>
      <c r="K22" s="8" t="s">
        <v>424</v>
      </c>
      <c r="L22" s="14" t="str">
        <f>IF(J22="","",IF(COUNTIF(I_RegisterBukti!$C$5:$C$130,J22)&gt;1,"DUPLIKAT","Unik"))</f>
        <v>Unik</v>
      </c>
      <c r="M22" s="14" t="str">
        <f>IF(C22="","",IF(E22="","TANGGAL KOSONG",IF(AND(E22&gt;=Identitas!$B$32,E22&lt;=Identitas!$B$33),"Sesuai","DI LUAR PERIODE")))</f>
        <v>Sesuai</v>
      </c>
      <c r="N22" s="14" t="str">
        <f t="shared" si="2"/>
        <v>Lengkap</v>
      </c>
    </row>
    <row r="23" ht="15.75" customHeight="1">
      <c r="A23" s="14">
        <v>18.0</v>
      </c>
      <c r="B23" s="13" t="str">
        <f>IF(C23="","",Identitas!$B$6&amp;"-"&amp;TEXT(Identitas!$B$15,"yyyymmdd")&amp;"-RL-"&amp;TEXT(A23,"000"))</f>
        <v>18.71.XX.XXXX-20261005-RL-018</v>
      </c>
      <c r="C23" s="8" t="s">
        <v>430</v>
      </c>
      <c r="D23" s="8" t="s">
        <v>396</v>
      </c>
      <c r="E23" s="12">
        <v>46300.0</v>
      </c>
      <c r="F23" s="34">
        <v>1.0</v>
      </c>
      <c r="G23" s="15">
        <v>90000.0</v>
      </c>
      <c r="H23" s="19">
        <f t="shared" si="1"/>
        <v>90000</v>
      </c>
      <c r="I23" s="8" t="s">
        <v>283</v>
      </c>
      <c r="J23" s="8" t="s">
        <v>431</v>
      </c>
      <c r="K23" s="8" t="s">
        <v>432</v>
      </c>
      <c r="L23" s="14" t="str">
        <f>IF(J23="","",IF(COUNTIF(I_RegisterBukti!$C$5:$C$130,J23)&gt;1,"DUPLIKAT","Unik"))</f>
        <v>Unik</v>
      </c>
      <c r="M23" s="14" t="str">
        <f>IF(C23="","",IF(E23="","TANGGAL KOSONG",IF(AND(E23&gt;=Identitas!$B$32,E23&lt;=Identitas!$B$33),"Sesuai","DI LUAR PERIODE")))</f>
        <v>Sesuai</v>
      </c>
      <c r="N23" s="14" t="str">
        <f t="shared" si="2"/>
        <v>Lengkap</v>
      </c>
    </row>
    <row r="24" ht="15.75" customHeight="1">
      <c r="A24" s="14">
        <v>19.0</v>
      </c>
      <c r="B24" s="13" t="str">
        <f>IF(C24="","",Identitas!$B$6&amp;"-"&amp;TEXT(Identitas!$B$15,"yyyymmdd")&amp;"-RL-"&amp;TEXT(A24,"000"))</f>
        <v>18.71.XX.XXXX-20261005-RL-019</v>
      </c>
      <c r="C24" s="8" t="s">
        <v>451</v>
      </c>
      <c r="D24" s="8" t="s">
        <v>396</v>
      </c>
      <c r="E24" s="12">
        <v>46300.0</v>
      </c>
      <c r="F24" s="34">
        <v>1.0</v>
      </c>
      <c r="G24" s="15">
        <v>90000.0</v>
      </c>
      <c r="H24" s="19">
        <f t="shared" si="1"/>
        <v>90000</v>
      </c>
      <c r="I24" s="8" t="s">
        <v>283</v>
      </c>
      <c r="J24" s="8" t="s">
        <v>459</v>
      </c>
      <c r="K24" s="8" t="s">
        <v>461</v>
      </c>
      <c r="L24" s="14" t="str">
        <f>IF(J24="","",IF(COUNTIF(I_RegisterBukti!$C$5:$C$130,J24)&gt;1,"DUPLIKAT","Unik"))</f>
        <v>Unik</v>
      </c>
      <c r="M24" s="14" t="str">
        <f>IF(C24="","",IF(E24="","TANGGAL KOSONG",IF(AND(E24&gt;=Identitas!$B$32,E24&lt;=Identitas!$B$33),"Sesuai","DI LUAR PERIODE")))</f>
        <v>Sesuai</v>
      </c>
      <c r="N24" s="14" t="str">
        <f t="shared" si="2"/>
        <v>Lengkap</v>
      </c>
    </row>
    <row r="25" ht="15.75" customHeight="1">
      <c r="A25" s="14">
        <v>20.0</v>
      </c>
      <c r="B25" s="13" t="str">
        <f>IF(C25="","",Identitas!$B$6&amp;"-"&amp;TEXT(Identitas!$B$15,"yyyymmdd")&amp;"-RL-"&amp;TEXT(A25,"000"))</f>
        <v>18.71.XX.XXXX-20261005-RL-020</v>
      </c>
      <c r="C25" s="8" t="s">
        <v>465</v>
      </c>
      <c r="D25" s="8" t="s">
        <v>396</v>
      </c>
      <c r="E25" s="12">
        <v>46300.0</v>
      </c>
      <c r="F25" s="34">
        <v>1.0</v>
      </c>
      <c r="G25" s="15">
        <v>90000.0</v>
      </c>
      <c r="H25" s="19">
        <f t="shared" si="1"/>
        <v>90000</v>
      </c>
      <c r="I25" s="8" t="s">
        <v>283</v>
      </c>
      <c r="J25" s="8" t="s">
        <v>467</v>
      </c>
      <c r="K25" s="8" t="s">
        <v>468</v>
      </c>
      <c r="L25" s="14" t="str">
        <f>IF(J25="","",IF(COUNTIF(I_RegisterBukti!$C$5:$C$130,J25)&gt;1,"DUPLIKAT","Unik"))</f>
        <v>Unik</v>
      </c>
      <c r="M25" s="14" t="str">
        <f>IF(C25="","",IF(E25="","TANGGAL KOSONG",IF(AND(E25&gt;=Identitas!$B$32,E25&lt;=Identitas!$B$33),"Sesuai","DI LUAR PERIODE")))</f>
        <v>Sesuai</v>
      </c>
      <c r="N25" s="14" t="str">
        <f t="shared" si="2"/>
        <v>Lengkap</v>
      </c>
    </row>
    <row r="26" ht="15.75" customHeight="1">
      <c r="A26" s="14">
        <v>21.0</v>
      </c>
      <c r="B26" s="13" t="str">
        <f>IF(C26="","",Identitas!$B$6&amp;"-"&amp;TEXT(Identitas!$B$15,"yyyymmdd")&amp;"-RL-"&amp;TEXT(A26,"000"))</f>
        <v>18.71.XX.XXXX-20261005-RL-021</v>
      </c>
      <c r="C26" s="8" t="s">
        <v>472</v>
      </c>
      <c r="D26" s="8" t="s">
        <v>396</v>
      </c>
      <c r="E26" s="12">
        <v>46300.0</v>
      </c>
      <c r="F26" s="34">
        <v>1.0</v>
      </c>
      <c r="G26" s="15">
        <v>90000.0</v>
      </c>
      <c r="H26" s="19">
        <f t="shared" si="1"/>
        <v>90000</v>
      </c>
      <c r="I26" s="8" t="s">
        <v>283</v>
      </c>
      <c r="J26" s="8" t="s">
        <v>473</v>
      </c>
      <c r="K26" s="8" t="s">
        <v>474</v>
      </c>
      <c r="L26" s="14" t="str">
        <f>IF(J26="","",IF(COUNTIF(I_RegisterBukti!$C$5:$C$130,J26)&gt;1,"DUPLIKAT","Unik"))</f>
        <v>Unik</v>
      </c>
      <c r="M26" s="14" t="str">
        <f>IF(C26="","",IF(E26="","TANGGAL KOSONG",IF(AND(E26&gt;=Identitas!$B$32,E26&lt;=Identitas!$B$33),"Sesuai","DI LUAR PERIODE")))</f>
        <v>Sesuai</v>
      </c>
      <c r="N26" s="14" t="str">
        <f t="shared" si="2"/>
        <v>Lengkap</v>
      </c>
    </row>
    <row r="27" ht="15.75" customHeight="1">
      <c r="A27" s="14">
        <v>22.0</v>
      </c>
      <c r="B27" s="13" t="str">
        <f>IF(C27="","",Identitas!$B$6&amp;"-"&amp;TEXT(Identitas!$B$15,"yyyymmdd")&amp;"-RL-"&amp;TEXT(A27,"000"))</f>
        <v>18.71.XX.XXXX-20261005-RL-022</v>
      </c>
      <c r="C27" s="8" t="s">
        <v>477</v>
      </c>
      <c r="D27" s="8" t="s">
        <v>396</v>
      </c>
      <c r="E27" s="12">
        <v>46300.0</v>
      </c>
      <c r="F27" s="34">
        <v>1.0</v>
      </c>
      <c r="G27" s="15">
        <v>90000.0</v>
      </c>
      <c r="H27" s="19">
        <f t="shared" si="1"/>
        <v>90000</v>
      </c>
      <c r="I27" s="8" t="s">
        <v>283</v>
      </c>
      <c r="J27" s="8" t="s">
        <v>480</v>
      </c>
      <c r="K27" s="8" t="s">
        <v>481</v>
      </c>
      <c r="L27" s="14" t="str">
        <f>IF(J27="","",IF(COUNTIF(I_RegisterBukti!$C$5:$C$130,J27)&gt;1,"DUPLIKAT","Unik"))</f>
        <v>Unik</v>
      </c>
      <c r="M27" s="14" t="str">
        <f>IF(C27="","",IF(E27="","TANGGAL KOSONG",IF(AND(E27&gt;=Identitas!$B$32,E27&lt;=Identitas!$B$33),"Sesuai","DI LUAR PERIODE")))</f>
        <v>Sesuai</v>
      </c>
      <c r="N27" s="14" t="str">
        <f t="shared" si="2"/>
        <v>Lengkap</v>
      </c>
    </row>
    <row r="28" ht="15.75" customHeight="1">
      <c r="A28" s="14">
        <v>23.0</v>
      </c>
      <c r="B28" s="13" t="str">
        <f>IF(C28="","",Identitas!$B$6&amp;"-"&amp;TEXT(Identitas!$B$15,"yyyymmdd")&amp;"-RL-"&amp;TEXT(A28,"000"))</f>
        <v>18.71.XX.XXXX-20261005-RL-023</v>
      </c>
      <c r="C28" s="8" t="s">
        <v>497</v>
      </c>
      <c r="D28" s="8" t="s">
        <v>498</v>
      </c>
      <c r="E28" s="12">
        <v>46300.0</v>
      </c>
      <c r="F28" s="34">
        <v>1.0</v>
      </c>
      <c r="G28" s="15">
        <v>90000.0</v>
      </c>
      <c r="H28" s="19">
        <f t="shared" si="1"/>
        <v>90000</v>
      </c>
      <c r="I28" s="8" t="s">
        <v>283</v>
      </c>
      <c r="J28" s="8" t="s">
        <v>499</v>
      </c>
      <c r="K28" s="8" t="s">
        <v>500</v>
      </c>
      <c r="L28" s="14" t="str">
        <f>IF(J28="","",IF(COUNTIF(I_RegisterBukti!$C$5:$C$130,J28)&gt;1,"DUPLIKAT","Unik"))</f>
        <v>Unik</v>
      </c>
      <c r="M28" s="14" t="str">
        <f>IF(C28="","",IF(E28="","TANGGAL KOSONG",IF(AND(E28&gt;=Identitas!$B$32,E28&lt;=Identitas!$B$33),"Sesuai","DI LUAR PERIODE")))</f>
        <v>Sesuai</v>
      </c>
      <c r="N28" s="14" t="str">
        <f t="shared" si="2"/>
        <v>Lengkap</v>
      </c>
    </row>
    <row r="29" ht="15.75" customHeight="1">
      <c r="A29" s="14">
        <v>24.0</v>
      </c>
      <c r="B29" s="13" t="str">
        <f>IF(C29="","",Identitas!$B$6&amp;"-"&amp;TEXT(Identitas!$B$15,"yyyymmdd")&amp;"-RL-"&amp;TEXT(A29,"000"))</f>
        <v>18.71.XX.XXXX-20261005-RL-024</v>
      </c>
      <c r="C29" s="8" t="s">
        <v>502</v>
      </c>
      <c r="D29" s="8" t="s">
        <v>498</v>
      </c>
      <c r="E29" s="12">
        <v>46300.0</v>
      </c>
      <c r="F29" s="34">
        <v>1.0</v>
      </c>
      <c r="G29" s="15">
        <v>90000.0</v>
      </c>
      <c r="H29" s="19">
        <f t="shared" si="1"/>
        <v>90000</v>
      </c>
      <c r="I29" s="8" t="s">
        <v>283</v>
      </c>
      <c r="J29" s="8" t="s">
        <v>505</v>
      </c>
      <c r="K29" s="8" t="s">
        <v>506</v>
      </c>
      <c r="L29" s="14" t="str">
        <f>IF(J29="","",IF(COUNTIF(I_RegisterBukti!$C$5:$C$130,J29)&gt;1,"DUPLIKAT","Unik"))</f>
        <v>Unik</v>
      </c>
      <c r="M29" s="14" t="str">
        <f>IF(C29="","",IF(E29="","TANGGAL KOSONG",IF(AND(E29&gt;=Identitas!$B$32,E29&lt;=Identitas!$B$33),"Sesuai","DI LUAR PERIODE")))</f>
        <v>Sesuai</v>
      </c>
      <c r="N29" s="14" t="str">
        <f t="shared" si="2"/>
        <v>Lengkap</v>
      </c>
    </row>
    <row r="30" ht="15.75" customHeight="1">
      <c r="A30" s="14">
        <v>25.0</v>
      </c>
      <c r="B30" s="13" t="str">
        <f>IF(C30="","",Identitas!$B$6&amp;"-"&amp;TEXT(Identitas!$B$15,"yyyymmdd")&amp;"-RL-"&amp;TEXT(A30,"000"))</f>
        <v>18.71.XX.XXXX-20261005-RL-025</v>
      </c>
      <c r="C30" s="8" t="s">
        <v>509</v>
      </c>
      <c r="D30" s="8" t="s">
        <v>498</v>
      </c>
      <c r="E30" s="12">
        <v>46300.0</v>
      </c>
      <c r="F30" s="34">
        <v>1.0</v>
      </c>
      <c r="G30" s="15">
        <v>90000.0</v>
      </c>
      <c r="H30" s="19">
        <f t="shared" si="1"/>
        <v>90000</v>
      </c>
      <c r="I30" s="8" t="s">
        <v>283</v>
      </c>
      <c r="J30" s="8" t="s">
        <v>512</v>
      </c>
      <c r="K30" s="8" t="s">
        <v>513</v>
      </c>
      <c r="L30" s="14" t="str">
        <f>IF(J30="","",IF(COUNTIF(I_RegisterBukti!$C$5:$C$130,J30)&gt;1,"DUPLIKAT","Unik"))</f>
        <v>Unik</v>
      </c>
      <c r="M30" s="14" t="str">
        <f>IF(C30="","",IF(E30="","TANGGAL KOSONG",IF(AND(E30&gt;=Identitas!$B$32,E30&lt;=Identitas!$B$33),"Sesuai","DI LUAR PERIODE")))</f>
        <v>Sesuai</v>
      </c>
      <c r="N30" s="14" t="str">
        <f t="shared" si="2"/>
        <v>Lengkap</v>
      </c>
    </row>
    <row r="31" ht="15.75" customHeight="1">
      <c r="A31" s="14">
        <v>26.0</v>
      </c>
      <c r="B31" s="13" t="str">
        <f>IF(C31="","",Identitas!$B$6&amp;"-"&amp;TEXT(Identitas!$B$15,"yyyymmdd")&amp;"-RL-"&amp;TEXT(A31,"000"))</f>
        <v>18.71.XX.XXXX-20261005-RL-026</v>
      </c>
      <c r="C31" s="8" t="s">
        <v>521</v>
      </c>
      <c r="D31" s="8" t="s">
        <v>498</v>
      </c>
      <c r="E31" s="12">
        <v>46300.0</v>
      </c>
      <c r="F31" s="34">
        <v>1.0</v>
      </c>
      <c r="G31" s="15">
        <v>90000.0</v>
      </c>
      <c r="H31" s="19">
        <f t="shared" si="1"/>
        <v>90000</v>
      </c>
      <c r="I31" s="8" t="s">
        <v>283</v>
      </c>
      <c r="J31" s="8" t="s">
        <v>524</v>
      </c>
      <c r="K31" s="8" t="s">
        <v>525</v>
      </c>
      <c r="L31" s="14" t="str">
        <f>IF(J31="","",IF(COUNTIF(I_RegisterBukti!$C$5:$C$130,J31)&gt;1,"DUPLIKAT","Unik"))</f>
        <v>Unik</v>
      </c>
      <c r="M31" s="14" t="str">
        <f>IF(C31="","",IF(E31="","TANGGAL KOSONG",IF(AND(E31&gt;=Identitas!$B$32,E31&lt;=Identitas!$B$33),"Sesuai","DI LUAR PERIODE")))</f>
        <v>Sesuai</v>
      </c>
      <c r="N31" s="14" t="str">
        <f t="shared" si="2"/>
        <v>Lengkap</v>
      </c>
    </row>
    <row r="32" ht="15.75" customHeight="1">
      <c r="A32" s="14">
        <v>27.0</v>
      </c>
      <c r="B32" s="13" t="str">
        <f>IF(C32="","",Identitas!$B$6&amp;"-"&amp;TEXT(Identitas!$B$15,"yyyymmdd")&amp;"-RL-"&amp;TEXT(A32,"000"))</f>
        <v>18.71.XX.XXXX-20261005-RL-027</v>
      </c>
      <c r="C32" s="8" t="s">
        <v>527</v>
      </c>
      <c r="D32" s="8" t="s">
        <v>498</v>
      </c>
      <c r="E32" s="12">
        <v>46300.0</v>
      </c>
      <c r="F32" s="34">
        <v>1.0</v>
      </c>
      <c r="G32" s="15">
        <v>90000.0</v>
      </c>
      <c r="H32" s="19">
        <f t="shared" si="1"/>
        <v>90000</v>
      </c>
      <c r="I32" s="8" t="s">
        <v>283</v>
      </c>
      <c r="J32" s="8" t="s">
        <v>530</v>
      </c>
      <c r="K32" s="8" t="s">
        <v>531</v>
      </c>
      <c r="L32" s="14" t="str">
        <f>IF(J32="","",IF(COUNTIF(I_RegisterBukti!$C$5:$C$130,J32)&gt;1,"DUPLIKAT","Unik"))</f>
        <v>Unik</v>
      </c>
      <c r="M32" s="14" t="str">
        <f>IF(C32="","",IF(E32="","TANGGAL KOSONG",IF(AND(E32&gt;=Identitas!$B$32,E32&lt;=Identitas!$B$33),"Sesuai","DI LUAR PERIODE")))</f>
        <v>Sesuai</v>
      </c>
      <c r="N32" s="14" t="str">
        <f t="shared" si="2"/>
        <v>Lengkap</v>
      </c>
    </row>
    <row r="33" ht="15.75" customHeight="1">
      <c r="A33" s="14">
        <v>28.0</v>
      </c>
      <c r="B33" s="13" t="str">
        <f>IF(C33="","",Identitas!$B$6&amp;"-"&amp;TEXT(Identitas!$B$15,"yyyymmdd")&amp;"-RL-"&amp;TEXT(A33,"000"))</f>
        <v>18.71.XX.XXXX-20261005-RL-028</v>
      </c>
      <c r="C33" s="8" t="s">
        <v>536</v>
      </c>
      <c r="D33" s="8" t="s">
        <v>498</v>
      </c>
      <c r="E33" s="12">
        <v>46300.0</v>
      </c>
      <c r="F33" s="34">
        <v>1.0</v>
      </c>
      <c r="G33" s="15">
        <v>90000.0</v>
      </c>
      <c r="H33" s="19">
        <f t="shared" si="1"/>
        <v>90000</v>
      </c>
      <c r="I33" s="8" t="s">
        <v>283</v>
      </c>
      <c r="J33" s="8" t="s">
        <v>537</v>
      </c>
      <c r="K33" s="8" t="s">
        <v>538</v>
      </c>
      <c r="L33" s="14" t="str">
        <f>IF(J33="","",IF(COUNTIF(I_RegisterBukti!$C$5:$C$130,J33)&gt;1,"DUPLIKAT","Unik"))</f>
        <v>Unik</v>
      </c>
      <c r="M33" s="14" t="str">
        <f>IF(C33="","",IF(E33="","TANGGAL KOSONG",IF(AND(E33&gt;=Identitas!$B$32,E33&lt;=Identitas!$B$33),"Sesuai","DI LUAR PERIODE")))</f>
        <v>Sesuai</v>
      </c>
      <c r="N33" s="14" t="str">
        <f t="shared" si="2"/>
        <v>Lengkap</v>
      </c>
    </row>
    <row r="34" ht="15.75" customHeight="1">
      <c r="A34" s="14">
        <v>29.0</v>
      </c>
      <c r="B34" s="13" t="str">
        <f>IF(C34="","",Identitas!$B$6&amp;"-"&amp;TEXT(Identitas!$B$15,"yyyymmdd")&amp;"-RL-"&amp;TEXT(A34,"000"))</f>
        <v>18.71.XX.XXXX-20261005-RL-029</v>
      </c>
      <c r="C34" s="8" t="s">
        <v>545</v>
      </c>
      <c r="D34" s="8" t="s">
        <v>498</v>
      </c>
      <c r="E34" s="12">
        <v>46300.0</v>
      </c>
      <c r="F34" s="34">
        <v>1.0</v>
      </c>
      <c r="G34" s="15">
        <v>90000.0</v>
      </c>
      <c r="H34" s="19">
        <f t="shared" si="1"/>
        <v>90000</v>
      </c>
      <c r="I34" s="8" t="s">
        <v>283</v>
      </c>
      <c r="J34" s="8" t="s">
        <v>548</v>
      </c>
      <c r="K34" s="8" t="s">
        <v>549</v>
      </c>
      <c r="L34" s="14" t="str">
        <f>IF(J34="","",IF(COUNTIF(I_RegisterBukti!$C$5:$C$130,J34)&gt;1,"DUPLIKAT","Unik"))</f>
        <v>Unik</v>
      </c>
      <c r="M34" s="14" t="str">
        <f>IF(C34="","",IF(E34="","TANGGAL KOSONG",IF(AND(E34&gt;=Identitas!$B$32,E34&lt;=Identitas!$B$33),"Sesuai","DI LUAR PERIODE")))</f>
        <v>Sesuai</v>
      </c>
      <c r="N34" s="14" t="str">
        <f t="shared" si="2"/>
        <v>Lengkap</v>
      </c>
    </row>
    <row r="35" ht="15.75" customHeight="1">
      <c r="A35" s="14">
        <v>30.0</v>
      </c>
      <c r="B35" s="13" t="str">
        <f>IF(C35="","",Identitas!$B$6&amp;"-"&amp;TEXT(Identitas!$B$15,"yyyymmdd")&amp;"-RL-"&amp;TEXT(A35,"000"))</f>
        <v>18.71.XX.XXXX-20261005-RL-030</v>
      </c>
      <c r="C35" s="8" t="s">
        <v>553</v>
      </c>
      <c r="D35" s="8" t="s">
        <v>498</v>
      </c>
      <c r="E35" s="12">
        <v>46300.0</v>
      </c>
      <c r="F35" s="34">
        <v>1.0</v>
      </c>
      <c r="G35" s="15">
        <v>90000.0</v>
      </c>
      <c r="H35" s="19">
        <f t="shared" si="1"/>
        <v>90000</v>
      </c>
      <c r="I35" s="8" t="s">
        <v>283</v>
      </c>
      <c r="J35" s="8" t="s">
        <v>555</v>
      </c>
      <c r="K35" s="8" t="s">
        <v>556</v>
      </c>
      <c r="L35" s="14" t="str">
        <f>IF(J35="","",IF(COUNTIF(I_RegisterBukti!$C$5:$C$130,J35)&gt;1,"DUPLIKAT","Unik"))</f>
        <v>Unik</v>
      </c>
      <c r="M35" s="14" t="str">
        <f>IF(C35="","",IF(E35="","TANGGAL KOSONG",IF(AND(E35&gt;=Identitas!$B$32,E35&lt;=Identitas!$B$33),"Sesuai","DI LUAR PERIODE")))</f>
        <v>Sesuai</v>
      </c>
      <c r="N35" s="14" t="str">
        <f t="shared" si="2"/>
        <v>Lengkap</v>
      </c>
    </row>
    <row r="36" ht="15.75" customHeight="1">
      <c r="A36" s="14">
        <v>31.0</v>
      </c>
      <c r="B36" s="13" t="str">
        <f>IF(C36="","",Identitas!$B$6&amp;"-"&amp;TEXT(Identitas!$B$15,"yyyymmdd")&amp;"-RL-"&amp;TEXT(A36,"000"))</f>
        <v>18.71.XX.XXXX-20261005-RL-031</v>
      </c>
      <c r="C36" s="8" t="s">
        <v>575</v>
      </c>
      <c r="D36" s="8" t="s">
        <v>498</v>
      </c>
      <c r="E36" s="12">
        <v>46300.0</v>
      </c>
      <c r="F36" s="34">
        <v>1.0</v>
      </c>
      <c r="G36" s="15">
        <v>90000.0</v>
      </c>
      <c r="H36" s="19">
        <f t="shared" si="1"/>
        <v>90000</v>
      </c>
      <c r="I36" s="8" t="s">
        <v>283</v>
      </c>
      <c r="J36" s="8" t="s">
        <v>580</v>
      </c>
      <c r="K36" s="8" t="s">
        <v>582</v>
      </c>
      <c r="L36" s="14" t="str">
        <f>IF(J36="","",IF(COUNTIF(I_RegisterBukti!$C$5:$C$130,J36)&gt;1,"DUPLIKAT","Unik"))</f>
        <v>Unik</v>
      </c>
      <c r="M36" s="14" t="str">
        <f>IF(C36="","",IF(E36="","TANGGAL KOSONG",IF(AND(E36&gt;=Identitas!$B$32,E36&lt;=Identitas!$B$33),"Sesuai","DI LUAR PERIODE")))</f>
        <v>Sesuai</v>
      </c>
      <c r="N36" s="14" t="str">
        <f t="shared" si="2"/>
        <v>Lengkap</v>
      </c>
    </row>
    <row r="37" ht="15.75" customHeight="1">
      <c r="A37" s="14">
        <v>32.0</v>
      </c>
      <c r="B37" s="13" t="str">
        <f>IF(C37="","",Identitas!$B$6&amp;"-"&amp;TEXT(Identitas!$B$15,"yyyymmdd")&amp;"-RL-"&amp;TEXT(A37,"000"))</f>
        <v>18.71.XX.XXXX-20261005-RL-032</v>
      </c>
      <c r="C37" s="8" t="s">
        <v>626</v>
      </c>
      <c r="D37" s="8" t="s">
        <v>498</v>
      </c>
      <c r="E37" s="12">
        <v>46300.0</v>
      </c>
      <c r="F37" s="34">
        <v>1.0</v>
      </c>
      <c r="G37" s="15">
        <v>90000.0</v>
      </c>
      <c r="H37" s="19">
        <f t="shared" si="1"/>
        <v>90000</v>
      </c>
      <c r="I37" s="8" t="s">
        <v>283</v>
      </c>
      <c r="J37" s="8" t="s">
        <v>632</v>
      </c>
      <c r="K37" s="8" t="s">
        <v>634</v>
      </c>
      <c r="L37" s="14" t="str">
        <f>IF(J37="","",IF(COUNTIF(I_RegisterBukti!$C$5:$C$130,J37)&gt;1,"DUPLIKAT","Unik"))</f>
        <v>Unik</v>
      </c>
      <c r="M37" s="14" t="str">
        <f>IF(C37="","",IF(E37="","TANGGAL KOSONG",IF(AND(E37&gt;=Identitas!$B$32,E37&lt;=Identitas!$B$33),"Sesuai","DI LUAR PERIODE")))</f>
        <v>Sesuai</v>
      </c>
      <c r="N37" s="14" t="str">
        <f t="shared" si="2"/>
        <v>Lengkap</v>
      </c>
    </row>
    <row r="38" ht="15.75" customHeight="1">
      <c r="A38" s="14">
        <v>33.0</v>
      </c>
      <c r="B38" s="13" t="str">
        <f>IF(C38="","",Identitas!$B$6&amp;"-"&amp;TEXT(Identitas!$B$15,"yyyymmdd")&amp;"-RL-"&amp;TEXT(A38,"000"))</f>
        <v>18.71.XX.XXXX-20261005-RL-033</v>
      </c>
      <c r="C38" s="8" t="s">
        <v>640</v>
      </c>
      <c r="D38" s="8" t="s">
        <v>641</v>
      </c>
      <c r="E38" s="12">
        <v>46300.0</v>
      </c>
      <c r="F38" s="34">
        <v>1.0</v>
      </c>
      <c r="G38" s="15">
        <v>90000.0</v>
      </c>
      <c r="H38" s="19">
        <f t="shared" si="1"/>
        <v>90000</v>
      </c>
      <c r="I38" s="8" t="s">
        <v>283</v>
      </c>
      <c r="J38" s="8" t="s">
        <v>642</v>
      </c>
      <c r="K38" s="8" t="s">
        <v>643</v>
      </c>
      <c r="L38" s="14" t="str">
        <f>IF(J38="","",IF(COUNTIF(I_RegisterBukti!$C$5:$C$130,J38)&gt;1,"DUPLIKAT","Unik"))</f>
        <v>Unik</v>
      </c>
      <c r="M38" s="14" t="str">
        <f>IF(C38="","",IF(E38="","TANGGAL KOSONG",IF(AND(E38&gt;=Identitas!$B$32,E38&lt;=Identitas!$B$33),"Sesuai","DI LUAR PERIODE")))</f>
        <v>Sesuai</v>
      </c>
      <c r="N38" s="14" t="str">
        <f t="shared" si="2"/>
        <v>Lengkap</v>
      </c>
    </row>
    <row r="39" ht="15.75" customHeight="1">
      <c r="A39" s="14">
        <v>34.0</v>
      </c>
      <c r="B39" s="13" t="str">
        <f>IF(C39="","",Identitas!$B$6&amp;"-"&amp;TEXT(Identitas!$B$15,"yyyymmdd")&amp;"-RL-"&amp;TEXT(A39,"000"))</f>
        <v>18.71.XX.XXXX-20261005-RL-034</v>
      </c>
      <c r="C39" s="8" t="s">
        <v>649</v>
      </c>
      <c r="D39" s="8" t="s">
        <v>641</v>
      </c>
      <c r="E39" s="12">
        <v>46300.0</v>
      </c>
      <c r="F39" s="34">
        <v>1.0</v>
      </c>
      <c r="G39" s="15">
        <v>90000.0</v>
      </c>
      <c r="H39" s="19">
        <f t="shared" si="1"/>
        <v>90000</v>
      </c>
      <c r="I39" s="8" t="s">
        <v>283</v>
      </c>
      <c r="J39" s="8" t="s">
        <v>651</v>
      </c>
      <c r="K39" s="8" t="s">
        <v>652</v>
      </c>
      <c r="L39" s="14" t="str">
        <f>IF(J39="","",IF(COUNTIF(I_RegisterBukti!$C$5:$C$130,J39)&gt;1,"DUPLIKAT","Unik"))</f>
        <v>Unik</v>
      </c>
      <c r="M39" s="14" t="str">
        <f>IF(C39="","",IF(E39="","TANGGAL KOSONG",IF(AND(E39&gt;=Identitas!$B$32,E39&lt;=Identitas!$B$33),"Sesuai","DI LUAR PERIODE")))</f>
        <v>Sesuai</v>
      </c>
      <c r="N39" s="14" t="str">
        <f t="shared" si="2"/>
        <v>Lengkap</v>
      </c>
    </row>
    <row r="40" ht="15.75" customHeight="1">
      <c r="A40" s="14">
        <v>35.0</v>
      </c>
      <c r="B40" s="13" t="str">
        <f>IF(C40="","",Identitas!$B$6&amp;"-"&amp;TEXT(Identitas!$B$15,"yyyymmdd")&amp;"-RL-"&amp;TEXT(A40,"000"))</f>
        <v>18.71.XX.XXXX-20261005-RL-035</v>
      </c>
      <c r="C40" s="8" t="s">
        <v>655</v>
      </c>
      <c r="D40" s="8" t="s">
        <v>641</v>
      </c>
      <c r="E40" s="12">
        <v>46300.0</v>
      </c>
      <c r="F40" s="34">
        <v>1.0</v>
      </c>
      <c r="G40" s="15">
        <v>90000.0</v>
      </c>
      <c r="H40" s="19">
        <f t="shared" si="1"/>
        <v>90000</v>
      </c>
      <c r="I40" s="8" t="s">
        <v>283</v>
      </c>
      <c r="J40" s="8" t="s">
        <v>656</v>
      </c>
      <c r="K40" s="8" t="s">
        <v>657</v>
      </c>
      <c r="L40" s="14" t="str">
        <f>IF(J40="","",IF(COUNTIF(I_RegisterBukti!$C$5:$C$130,J40)&gt;1,"DUPLIKAT","Unik"))</f>
        <v>Unik</v>
      </c>
      <c r="M40" s="14" t="str">
        <f>IF(C40="","",IF(E40="","TANGGAL KOSONG",IF(AND(E40&gt;=Identitas!$B$32,E40&lt;=Identitas!$B$33),"Sesuai","DI LUAR PERIODE")))</f>
        <v>Sesuai</v>
      </c>
      <c r="N40" s="14" t="str">
        <f t="shared" si="2"/>
        <v>Lengkap</v>
      </c>
    </row>
    <row r="41" ht="15.75" customHeight="1">
      <c r="A41" s="14">
        <v>36.0</v>
      </c>
      <c r="B41" s="13" t="str">
        <f>IF(C41="","",Identitas!$B$6&amp;"-"&amp;TEXT(Identitas!$B$15,"yyyymmdd")&amp;"-RL-"&amp;TEXT(A41,"000"))</f>
        <v>18.71.XX.XXXX-20261005-RL-036</v>
      </c>
      <c r="C41" s="8" t="s">
        <v>658</v>
      </c>
      <c r="D41" s="8" t="s">
        <v>641</v>
      </c>
      <c r="E41" s="12">
        <v>46300.0</v>
      </c>
      <c r="F41" s="34">
        <v>1.0</v>
      </c>
      <c r="G41" s="15">
        <v>90000.0</v>
      </c>
      <c r="H41" s="19">
        <f t="shared" si="1"/>
        <v>90000</v>
      </c>
      <c r="I41" s="8" t="s">
        <v>283</v>
      </c>
      <c r="J41" s="8" t="s">
        <v>659</v>
      </c>
      <c r="K41" s="8" t="s">
        <v>660</v>
      </c>
      <c r="L41" s="14" t="str">
        <f>IF(J41="","",IF(COUNTIF(I_RegisterBukti!$C$5:$C$130,J41)&gt;1,"DUPLIKAT","Unik"))</f>
        <v>Unik</v>
      </c>
      <c r="M41" s="14" t="str">
        <f>IF(C41="","",IF(E41="","TANGGAL KOSONG",IF(AND(E41&gt;=Identitas!$B$32,E41&lt;=Identitas!$B$33),"Sesuai","DI LUAR PERIODE")))</f>
        <v>Sesuai</v>
      </c>
      <c r="N41" s="14" t="str">
        <f t="shared" si="2"/>
        <v>Lengkap</v>
      </c>
    </row>
    <row r="42" ht="15.75" customHeight="1">
      <c r="A42" s="14">
        <v>37.0</v>
      </c>
      <c r="B42" s="13" t="str">
        <f>IF(C42="","",Identitas!$B$6&amp;"-"&amp;TEXT(Identitas!$B$15,"yyyymmdd")&amp;"-RL-"&amp;TEXT(A42,"000"))</f>
        <v>18.71.XX.XXXX-20261005-RL-037</v>
      </c>
      <c r="C42" s="8" t="s">
        <v>661</v>
      </c>
      <c r="D42" s="8" t="s">
        <v>641</v>
      </c>
      <c r="E42" s="12">
        <v>46300.0</v>
      </c>
      <c r="F42" s="34">
        <v>1.0</v>
      </c>
      <c r="G42" s="15">
        <v>90000.0</v>
      </c>
      <c r="H42" s="19">
        <f t="shared" si="1"/>
        <v>90000</v>
      </c>
      <c r="I42" s="8" t="s">
        <v>283</v>
      </c>
      <c r="J42" s="8" t="s">
        <v>662</v>
      </c>
      <c r="K42" s="8" t="s">
        <v>663</v>
      </c>
      <c r="L42" s="14" t="str">
        <f>IF(J42="","",IF(COUNTIF(I_RegisterBukti!$C$5:$C$130,J42)&gt;1,"DUPLIKAT","Unik"))</f>
        <v>Unik</v>
      </c>
      <c r="M42" s="14" t="str">
        <f>IF(C42="","",IF(E42="","TANGGAL KOSONG",IF(AND(E42&gt;=Identitas!$B$32,E42&lt;=Identitas!$B$33),"Sesuai","DI LUAR PERIODE")))</f>
        <v>Sesuai</v>
      </c>
      <c r="N42" s="14" t="str">
        <f t="shared" si="2"/>
        <v>Lengkap</v>
      </c>
    </row>
    <row r="43" ht="15.75" customHeight="1">
      <c r="A43" s="14">
        <v>38.0</v>
      </c>
      <c r="B43" s="13" t="str">
        <f>IF(C43="","",Identitas!$B$6&amp;"-"&amp;TEXT(Identitas!$B$15,"yyyymmdd")&amp;"-RL-"&amp;TEXT(A43,"000"))</f>
        <v>18.71.XX.XXXX-20261005-RL-038</v>
      </c>
      <c r="C43" s="8" t="s">
        <v>664</v>
      </c>
      <c r="D43" s="8" t="s">
        <v>641</v>
      </c>
      <c r="E43" s="12">
        <v>46300.0</v>
      </c>
      <c r="F43" s="34">
        <v>1.0</v>
      </c>
      <c r="G43" s="15">
        <v>90000.0</v>
      </c>
      <c r="H43" s="19">
        <f t="shared" si="1"/>
        <v>90000</v>
      </c>
      <c r="I43" s="8" t="s">
        <v>283</v>
      </c>
      <c r="J43" s="8" t="s">
        <v>665</v>
      </c>
      <c r="K43" s="8" t="s">
        <v>666</v>
      </c>
      <c r="L43" s="14" t="str">
        <f>IF(J43="","",IF(COUNTIF(I_RegisterBukti!$C$5:$C$130,J43)&gt;1,"DUPLIKAT","Unik"))</f>
        <v>Unik</v>
      </c>
      <c r="M43" s="14" t="str">
        <f>IF(C43="","",IF(E43="","TANGGAL KOSONG",IF(AND(E43&gt;=Identitas!$B$32,E43&lt;=Identitas!$B$33),"Sesuai","DI LUAR PERIODE")))</f>
        <v>Sesuai</v>
      </c>
      <c r="N43" s="14" t="str">
        <f t="shared" si="2"/>
        <v>Lengkap</v>
      </c>
    </row>
    <row r="44" ht="15.75" customHeight="1">
      <c r="A44" s="14">
        <v>39.0</v>
      </c>
      <c r="B44" s="13" t="str">
        <f>IF(C44="","",Identitas!$B$6&amp;"-"&amp;TEXT(Identitas!$B$15,"yyyymmdd")&amp;"-RL-"&amp;TEXT(A44,"000"))</f>
        <v>18.71.XX.XXXX-20261005-RL-039</v>
      </c>
      <c r="C44" s="8" t="s">
        <v>676</v>
      </c>
      <c r="D44" s="8" t="s">
        <v>641</v>
      </c>
      <c r="E44" s="12">
        <v>46300.0</v>
      </c>
      <c r="F44" s="34">
        <v>1.0</v>
      </c>
      <c r="G44" s="15">
        <v>90000.0</v>
      </c>
      <c r="H44" s="19">
        <f t="shared" si="1"/>
        <v>90000</v>
      </c>
      <c r="I44" s="8" t="s">
        <v>283</v>
      </c>
      <c r="J44" s="8" t="s">
        <v>677</v>
      </c>
      <c r="K44" s="8" t="s">
        <v>678</v>
      </c>
      <c r="L44" s="14" t="str">
        <f>IF(J44="","",IF(COUNTIF(I_RegisterBukti!$C$5:$C$130,J44)&gt;1,"DUPLIKAT","Unik"))</f>
        <v>Unik</v>
      </c>
      <c r="M44" s="14" t="str">
        <f>IF(C44="","",IF(E44="","TANGGAL KOSONG",IF(AND(E44&gt;=Identitas!$B$32,E44&lt;=Identitas!$B$33),"Sesuai","DI LUAR PERIODE")))</f>
        <v>Sesuai</v>
      </c>
      <c r="N44" s="14" t="str">
        <f t="shared" si="2"/>
        <v>Lengkap</v>
      </c>
    </row>
    <row r="45" ht="15.75" customHeight="1">
      <c r="A45" s="14">
        <v>40.0</v>
      </c>
      <c r="B45" s="13" t="str">
        <f>IF(C45="","",Identitas!$B$6&amp;"-"&amp;TEXT(Identitas!$B$15,"yyyymmdd")&amp;"-RL-"&amp;TEXT(A45,"000"))</f>
        <v>18.71.XX.XXXX-20261005-RL-040</v>
      </c>
      <c r="C45" s="8" t="s">
        <v>679</v>
      </c>
      <c r="D45" s="8" t="s">
        <v>680</v>
      </c>
      <c r="E45" s="12">
        <v>46300.0</v>
      </c>
      <c r="F45" s="34">
        <v>1.0</v>
      </c>
      <c r="G45" s="15">
        <v>90000.0</v>
      </c>
      <c r="H45" s="19">
        <f t="shared" si="1"/>
        <v>90000</v>
      </c>
      <c r="I45" s="8" t="s">
        <v>283</v>
      </c>
      <c r="J45" s="8" t="s">
        <v>681</v>
      </c>
      <c r="K45" s="8" t="s">
        <v>682</v>
      </c>
      <c r="L45" s="14" t="str">
        <f>IF(J45="","",IF(COUNTIF(I_RegisterBukti!$C$5:$C$130,J45)&gt;1,"DUPLIKAT","Unik"))</f>
        <v>Unik</v>
      </c>
      <c r="M45" s="14" t="str">
        <f>IF(C45="","",IF(E45="","TANGGAL KOSONG",IF(AND(E45&gt;=Identitas!$B$32,E45&lt;=Identitas!$B$33),"Sesuai","DI LUAR PERIODE")))</f>
        <v>Sesuai</v>
      </c>
      <c r="N45" s="14" t="str">
        <f t="shared" si="2"/>
        <v>Lengkap</v>
      </c>
    </row>
    <row r="46" ht="15.75" customHeight="1">
      <c r="A46" s="14">
        <v>41.0</v>
      </c>
      <c r="B46" s="13" t="str">
        <f>IF(C46="","",Identitas!$B$6&amp;"-"&amp;TEXT(Identitas!$B$15,"yyyymmdd")&amp;"-RL-"&amp;TEXT(A46,"000"))</f>
        <v>18.71.XX.XXXX-20261005-RL-041</v>
      </c>
      <c r="C46" s="8" t="s">
        <v>683</v>
      </c>
      <c r="D46" s="8" t="s">
        <v>680</v>
      </c>
      <c r="E46" s="12">
        <v>46300.0</v>
      </c>
      <c r="F46" s="34">
        <v>1.0</v>
      </c>
      <c r="G46" s="15">
        <v>90000.0</v>
      </c>
      <c r="H46" s="19">
        <f t="shared" si="1"/>
        <v>90000</v>
      </c>
      <c r="I46" s="8" t="s">
        <v>283</v>
      </c>
      <c r="J46" s="8" t="s">
        <v>684</v>
      </c>
      <c r="K46" s="8" t="s">
        <v>685</v>
      </c>
      <c r="L46" s="14" t="str">
        <f>IF(J46="","",IF(COUNTIF(I_RegisterBukti!$C$5:$C$130,J46)&gt;1,"DUPLIKAT","Unik"))</f>
        <v>Unik</v>
      </c>
      <c r="M46" s="14" t="str">
        <f>IF(C46="","",IF(E46="","TANGGAL KOSONG",IF(AND(E46&gt;=Identitas!$B$32,E46&lt;=Identitas!$B$33),"Sesuai","DI LUAR PERIODE")))</f>
        <v>Sesuai</v>
      </c>
      <c r="N46" s="14" t="str">
        <f t="shared" si="2"/>
        <v>Lengkap</v>
      </c>
    </row>
    <row r="47" ht="15.75" customHeight="1">
      <c r="A47" s="14">
        <v>42.0</v>
      </c>
      <c r="B47" s="13" t="str">
        <f>IF(C47="","",Identitas!$B$6&amp;"-"&amp;TEXT(Identitas!$B$15,"yyyymmdd")&amp;"-RL-"&amp;TEXT(A47,"000"))</f>
        <v>18.71.XX.XXXX-20261005-RL-042</v>
      </c>
      <c r="C47" s="8" t="s">
        <v>690</v>
      </c>
      <c r="D47" s="8" t="s">
        <v>680</v>
      </c>
      <c r="E47" s="12">
        <v>46300.0</v>
      </c>
      <c r="F47" s="34">
        <v>1.0</v>
      </c>
      <c r="G47" s="15">
        <v>90000.0</v>
      </c>
      <c r="H47" s="19">
        <f t="shared" si="1"/>
        <v>90000</v>
      </c>
      <c r="I47" s="8" t="s">
        <v>283</v>
      </c>
      <c r="J47" s="8" t="s">
        <v>692</v>
      </c>
      <c r="K47" s="8" t="s">
        <v>693</v>
      </c>
      <c r="L47" s="14" t="str">
        <f>IF(J47="","",IF(COUNTIF(I_RegisterBukti!$C$5:$C$130,J47)&gt;1,"DUPLIKAT","Unik"))</f>
        <v>Unik</v>
      </c>
      <c r="M47" s="14" t="str">
        <f>IF(C47="","",IF(E47="","TANGGAL KOSONG",IF(AND(E47&gt;=Identitas!$B$32,E47&lt;=Identitas!$B$33),"Sesuai","DI LUAR PERIODE")))</f>
        <v>Sesuai</v>
      </c>
      <c r="N47" s="14" t="str">
        <f t="shared" si="2"/>
        <v>Lengkap</v>
      </c>
    </row>
    <row r="48" ht="15.75" customHeight="1">
      <c r="A48" s="14">
        <v>43.0</v>
      </c>
      <c r="B48" s="13" t="str">
        <f>IF(C48="","",Identitas!$B$6&amp;"-"&amp;TEXT(Identitas!$B$15,"yyyymmdd")&amp;"-RL-"&amp;TEXT(A48,"000"))</f>
        <v>18.71.XX.XXXX-20261005-RL-043</v>
      </c>
      <c r="C48" s="8" t="s">
        <v>696</v>
      </c>
      <c r="D48" s="8" t="s">
        <v>680</v>
      </c>
      <c r="E48" s="12">
        <v>46300.0</v>
      </c>
      <c r="F48" s="34">
        <v>1.0</v>
      </c>
      <c r="G48" s="15">
        <v>90000.0</v>
      </c>
      <c r="H48" s="19">
        <f t="shared" si="1"/>
        <v>90000</v>
      </c>
      <c r="I48" s="8" t="s">
        <v>283</v>
      </c>
      <c r="J48" s="8" t="s">
        <v>697</v>
      </c>
      <c r="K48" s="8" t="s">
        <v>698</v>
      </c>
      <c r="L48" s="14" t="str">
        <f>IF(J48="","",IF(COUNTIF(I_RegisterBukti!$C$5:$C$130,J48)&gt;1,"DUPLIKAT","Unik"))</f>
        <v>Unik</v>
      </c>
      <c r="M48" s="14" t="str">
        <f>IF(C48="","",IF(E48="","TANGGAL KOSONG",IF(AND(E48&gt;=Identitas!$B$32,E48&lt;=Identitas!$B$33),"Sesuai","DI LUAR PERIODE")))</f>
        <v>Sesuai</v>
      </c>
      <c r="N48" s="14" t="str">
        <f t="shared" si="2"/>
        <v>Lengkap</v>
      </c>
    </row>
    <row r="49" ht="15.75" customHeight="1">
      <c r="A49" s="14">
        <v>44.0</v>
      </c>
      <c r="B49" s="13" t="str">
        <f>IF(C49="","",Identitas!$B$6&amp;"-"&amp;TEXT(Identitas!$B$15,"yyyymmdd")&amp;"-RL-"&amp;TEXT(A49,"000"))</f>
        <v>18.71.XX.XXXX-20261005-RL-044</v>
      </c>
      <c r="C49" s="8" t="s">
        <v>703</v>
      </c>
      <c r="D49" s="8" t="s">
        <v>680</v>
      </c>
      <c r="E49" s="12">
        <v>46300.0</v>
      </c>
      <c r="F49" s="34">
        <v>1.0</v>
      </c>
      <c r="G49" s="15">
        <v>90000.0</v>
      </c>
      <c r="H49" s="19">
        <f t="shared" si="1"/>
        <v>90000</v>
      </c>
      <c r="I49" s="8" t="s">
        <v>283</v>
      </c>
      <c r="J49" s="8" t="s">
        <v>704</v>
      </c>
      <c r="K49" s="8" t="s">
        <v>705</v>
      </c>
      <c r="L49" s="14" t="str">
        <f>IF(J49="","",IF(COUNTIF(I_RegisterBukti!$C$5:$C$130,J49)&gt;1,"DUPLIKAT","Unik"))</f>
        <v>Unik</v>
      </c>
      <c r="M49" s="14" t="str">
        <f>IF(C49="","",IF(E49="","TANGGAL KOSONG",IF(AND(E49&gt;=Identitas!$B$32,E49&lt;=Identitas!$B$33),"Sesuai","DI LUAR PERIODE")))</f>
        <v>Sesuai</v>
      </c>
      <c r="N49" s="14" t="str">
        <f t="shared" si="2"/>
        <v>Lengkap</v>
      </c>
    </row>
    <row r="50" ht="15.75" customHeight="1">
      <c r="A50" s="14">
        <v>45.0</v>
      </c>
      <c r="B50" s="13" t="str">
        <f>IF(C50="","",Identitas!$B$6&amp;"-"&amp;TEXT(Identitas!$B$15,"yyyymmdd")&amp;"-RL-"&amp;TEXT(A50,"000"))</f>
        <v>18.71.XX.XXXX-20261005-RL-045</v>
      </c>
      <c r="C50" s="8" t="s">
        <v>709</v>
      </c>
      <c r="D50" s="8" t="s">
        <v>680</v>
      </c>
      <c r="E50" s="12">
        <v>46300.0</v>
      </c>
      <c r="F50" s="34">
        <v>1.0</v>
      </c>
      <c r="G50" s="15">
        <v>90000.0</v>
      </c>
      <c r="H50" s="19">
        <f t="shared" si="1"/>
        <v>90000</v>
      </c>
      <c r="I50" s="8" t="s">
        <v>283</v>
      </c>
      <c r="J50" s="8" t="s">
        <v>710</v>
      </c>
      <c r="K50" s="8" t="s">
        <v>712</v>
      </c>
      <c r="L50" s="14" t="str">
        <f>IF(J50="","",IF(COUNTIF(I_RegisterBukti!$C$5:$C$130,J50)&gt;1,"DUPLIKAT","Unik"))</f>
        <v>Unik</v>
      </c>
      <c r="M50" s="14" t="str">
        <f>IF(C50="","",IF(E50="","TANGGAL KOSONG",IF(AND(E50&gt;=Identitas!$B$32,E50&lt;=Identitas!$B$33),"Sesuai","DI LUAR PERIODE")))</f>
        <v>Sesuai</v>
      </c>
      <c r="N50" s="14" t="str">
        <f t="shared" si="2"/>
        <v>Lengkap</v>
      </c>
    </row>
    <row r="51" ht="15.75" customHeight="1">
      <c r="A51" s="14">
        <v>46.0</v>
      </c>
      <c r="B51" s="13" t="str">
        <f>IF(C51="","",Identitas!$B$6&amp;"-"&amp;TEXT(Identitas!$B$15,"yyyymmdd")&amp;"-RL-"&amp;TEXT(A51,"000"))</f>
        <v>18.71.XX.XXXX-20261005-RL-046</v>
      </c>
      <c r="C51" s="8" t="s">
        <v>717</v>
      </c>
      <c r="D51" s="8" t="s">
        <v>718</v>
      </c>
      <c r="E51" s="12">
        <v>46300.0</v>
      </c>
      <c r="F51" s="34">
        <v>1.0</v>
      </c>
      <c r="G51" s="15">
        <v>90000.0</v>
      </c>
      <c r="H51" s="19">
        <f t="shared" si="1"/>
        <v>90000</v>
      </c>
      <c r="I51" s="8" t="s">
        <v>283</v>
      </c>
      <c r="J51" s="8" t="s">
        <v>719</v>
      </c>
      <c r="K51" s="8" t="s">
        <v>723</v>
      </c>
      <c r="L51" s="14" t="str">
        <f>IF(J51="","",IF(COUNTIF(I_RegisterBukti!$C$5:$C$130,J51)&gt;1,"DUPLIKAT","Unik"))</f>
        <v>Unik</v>
      </c>
      <c r="M51" s="14" t="str">
        <f>IF(C51="","",IF(E51="","TANGGAL KOSONG",IF(AND(E51&gt;=Identitas!$B$32,E51&lt;=Identitas!$B$33),"Sesuai","DI LUAR PERIODE")))</f>
        <v>Sesuai</v>
      </c>
      <c r="N51" s="14" t="str">
        <f t="shared" si="2"/>
        <v>Lengkap</v>
      </c>
    </row>
    <row r="52" ht="15.75" customHeight="1">
      <c r="A52" s="14">
        <v>47.0</v>
      </c>
      <c r="B52" s="13" t="str">
        <f>IF(C52="","",Identitas!$B$6&amp;"-"&amp;TEXT(Identitas!$B$15,"yyyymmdd")&amp;"-RL-"&amp;TEXT(A52,"000"))</f>
        <v>18.71.XX.XXXX-20261005-RL-047</v>
      </c>
      <c r="C52" s="8" t="s">
        <v>729</v>
      </c>
      <c r="D52" s="8" t="s">
        <v>718</v>
      </c>
      <c r="E52" s="12">
        <v>46300.0</v>
      </c>
      <c r="F52" s="34">
        <v>1.0</v>
      </c>
      <c r="G52" s="15">
        <v>90000.0</v>
      </c>
      <c r="H52" s="19">
        <f t="shared" si="1"/>
        <v>90000</v>
      </c>
      <c r="I52" s="8" t="s">
        <v>283</v>
      </c>
      <c r="J52" s="8" t="s">
        <v>730</v>
      </c>
      <c r="K52" s="8" t="s">
        <v>731</v>
      </c>
      <c r="L52" s="14" t="str">
        <f>IF(J52="","",IF(COUNTIF(I_RegisterBukti!$C$5:$C$130,J52)&gt;1,"DUPLIKAT","Unik"))</f>
        <v>Unik</v>
      </c>
      <c r="M52" s="14" t="str">
        <f>IF(C52="","",IF(E52="","TANGGAL KOSONG",IF(AND(E52&gt;=Identitas!$B$32,E52&lt;=Identitas!$B$33),"Sesuai","DI LUAR PERIODE")))</f>
        <v>Sesuai</v>
      </c>
      <c r="N52" s="14" t="str">
        <f t="shared" si="2"/>
        <v>Lengkap</v>
      </c>
    </row>
    <row r="53" ht="15.75" customHeight="1">
      <c r="A53" s="14">
        <v>48.0</v>
      </c>
      <c r="B53" s="13" t="str">
        <f>IF(C53="","",Identitas!$B$6&amp;"-"&amp;TEXT(Identitas!$B$15,"yyyymmdd")&amp;"-RL-"&amp;TEXT(A53,"000"))</f>
        <v/>
      </c>
      <c r="C53" s="8"/>
      <c r="D53" s="8"/>
      <c r="E53" s="12"/>
      <c r="F53" s="34"/>
      <c r="G53" s="15"/>
      <c r="H53" s="19">
        <f t="shared" si="1"/>
        <v>0</v>
      </c>
      <c r="I53" s="8"/>
      <c r="J53" s="8"/>
      <c r="K53" s="8"/>
      <c r="L53" s="14" t="str">
        <f>IF(J53="","",IF(COUNTIF(I_RegisterBukti!$C$5:$C$130,J53)&gt;1,"DUPLIKAT","Unik"))</f>
        <v/>
      </c>
      <c r="M53" s="14" t="str">
        <f>IF(C53="","",IF(E53="","TANGGAL KOSONG",IF(AND(E53&gt;=Identitas!$B$32,E53&lt;=Identitas!$B$33),"Sesuai","DI LUAR PERIODE")))</f>
        <v/>
      </c>
      <c r="N53" s="14" t="str">
        <f t="shared" si="2"/>
        <v/>
      </c>
    </row>
    <row r="54" ht="15.75" customHeight="1">
      <c r="A54" s="14">
        <v>49.0</v>
      </c>
      <c r="B54" s="13" t="str">
        <f>IF(C54="","",Identitas!$B$6&amp;"-"&amp;TEXT(Identitas!$B$15,"yyyymmdd")&amp;"-RL-"&amp;TEXT(A54,"000"))</f>
        <v/>
      </c>
      <c r="C54" s="8"/>
      <c r="D54" s="8"/>
      <c r="E54" s="12"/>
      <c r="F54" s="34"/>
      <c r="G54" s="15"/>
      <c r="H54" s="19">
        <f t="shared" si="1"/>
        <v>0</v>
      </c>
      <c r="I54" s="8"/>
      <c r="J54" s="8"/>
      <c r="K54" s="8"/>
      <c r="L54" s="14" t="str">
        <f>IF(J54="","",IF(COUNTIF(I_RegisterBukti!$C$5:$C$130,J54)&gt;1,"DUPLIKAT","Unik"))</f>
        <v/>
      </c>
      <c r="M54" s="14" t="str">
        <f>IF(C54="","",IF(E54="","TANGGAL KOSONG",IF(AND(E54&gt;=Identitas!$B$32,E54&lt;=Identitas!$B$33),"Sesuai","DI LUAR PERIODE")))</f>
        <v/>
      </c>
      <c r="N54" s="14" t="str">
        <f t="shared" si="2"/>
        <v/>
      </c>
    </row>
    <row r="55" ht="15.75" customHeight="1">
      <c r="A55" s="14">
        <v>50.0</v>
      </c>
      <c r="B55" s="13" t="str">
        <f>IF(C55="","",Identitas!$B$6&amp;"-"&amp;TEXT(Identitas!$B$15,"yyyymmdd")&amp;"-RL-"&amp;TEXT(A55,"000"))</f>
        <v/>
      </c>
      <c r="C55" s="8"/>
      <c r="D55" s="8"/>
      <c r="E55" s="12"/>
      <c r="F55" s="34"/>
      <c r="G55" s="15"/>
      <c r="H55" s="19">
        <f t="shared" si="1"/>
        <v>0</v>
      </c>
      <c r="I55" s="8"/>
      <c r="J55" s="8"/>
      <c r="K55" s="8"/>
      <c r="L55" s="14" t="str">
        <f>IF(J55="","",IF(COUNTIF(I_RegisterBukti!$C$5:$C$130,J55)&gt;1,"DUPLIKAT","Unik"))</f>
        <v/>
      </c>
      <c r="M55" s="14" t="str">
        <f>IF(C55="","",IF(E55="","TANGGAL KOSONG",IF(AND(E55&gt;=Identitas!$B$32,E55&lt;=Identitas!$B$33),"Sesuai","DI LUAR PERIODE")))</f>
        <v/>
      </c>
      <c r="N55" s="14" t="str">
        <f t="shared" si="2"/>
        <v/>
      </c>
    </row>
    <row r="56" ht="15.75" customHeight="1">
      <c r="A56" s="14">
        <v>51.0</v>
      </c>
      <c r="B56" s="13" t="str">
        <f>IF(C56="","",Identitas!$B$6&amp;"-"&amp;TEXT(Identitas!$B$15,"yyyymmdd")&amp;"-RL-"&amp;TEXT(A56,"000"))</f>
        <v/>
      </c>
      <c r="C56" s="8"/>
      <c r="D56" s="8"/>
      <c r="E56" s="12"/>
      <c r="F56" s="34"/>
      <c r="G56" s="15"/>
      <c r="H56" s="19">
        <f t="shared" si="1"/>
        <v>0</v>
      </c>
      <c r="I56" s="8"/>
      <c r="J56" s="8"/>
      <c r="K56" s="8"/>
      <c r="L56" s="14" t="str">
        <f>IF(J56="","",IF(COUNTIF(I_RegisterBukti!$C$5:$C$130,J56)&gt;1,"DUPLIKAT","Unik"))</f>
        <v/>
      </c>
      <c r="M56" s="14" t="str">
        <f>IF(C56="","",IF(E56="","TANGGAL KOSONG",IF(AND(E56&gt;=Identitas!$B$32,E56&lt;=Identitas!$B$33),"Sesuai","DI LUAR PERIODE")))</f>
        <v/>
      </c>
      <c r="N56" s="14" t="str">
        <f t="shared" si="2"/>
        <v/>
      </c>
    </row>
    <row r="57" ht="15.75" customHeight="1">
      <c r="A57" s="14">
        <v>52.0</v>
      </c>
      <c r="B57" s="13" t="str">
        <f>IF(C57="","",Identitas!$B$6&amp;"-"&amp;TEXT(Identitas!$B$15,"yyyymmdd")&amp;"-RL-"&amp;TEXT(A57,"000"))</f>
        <v/>
      </c>
      <c r="C57" s="8"/>
      <c r="D57" s="8"/>
      <c r="E57" s="12"/>
      <c r="F57" s="34"/>
      <c r="G57" s="15"/>
      <c r="H57" s="19">
        <f t="shared" si="1"/>
        <v>0</v>
      </c>
      <c r="I57" s="8"/>
      <c r="J57" s="8"/>
      <c r="K57" s="8"/>
      <c r="L57" s="14" t="str">
        <f>IF(J57="","",IF(COUNTIF(I_RegisterBukti!$C$5:$C$130,J57)&gt;1,"DUPLIKAT","Unik"))</f>
        <v/>
      </c>
      <c r="M57" s="14" t="str">
        <f>IF(C57="","",IF(E57="","TANGGAL KOSONG",IF(AND(E57&gt;=Identitas!$B$32,E57&lt;=Identitas!$B$33),"Sesuai","DI LUAR PERIODE")))</f>
        <v/>
      </c>
      <c r="N57" s="14" t="str">
        <f t="shared" si="2"/>
        <v/>
      </c>
    </row>
    <row r="58" ht="15.75" customHeight="1">
      <c r="A58" s="14">
        <v>53.0</v>
      </c>
      <c r="B58" s="13" t="str">
        <f>IF(C58="","",Identitas!$B$6&amp;"-"&amp;TEXT(Identitas!$B$15,"yyyymmdd")&amp;"-RL-"&amp;TEXT(A58,"000"))</f>
        <v/>
      </c>
      <c r="C58" s="8"/>
      <c r="D58" s="8"/>
      <c r="E58" s="12"/>
      <c r="F58" s="34"/>
      <c r="G58" s="15"/>
      <c r="H58" s="19">
        <f t="shared" si="1"/>
        <v>0</v>
      </c>
      <c r="I58" s="8"/>
      <c r="J58" s="8"/>
      <c r="K58" s="8"/>
      <c r="L58" s="14" t="str">
        <f>IF(J58="","",IF(COUNTIF(I_RegisterBukti!$C$5:$C$130,J58)&gt;1,"DUPLIKAT","Unik"))</f>
        <v/>
      </c>
      <c r="M58" s="14" t="str">
        <f>IF(C58="","",IF(E58="","TANGGAL KOSONG",IF(AND(E58&gt;=Identitas!$B$32,E58&lt;=Identitas!$B$33),"Sesuai","DI LUAR PERIODE")))</f>
        <v/>
      </c>
      <c r="N58" s="14" t="str">
        <f t="shared" si="2"/>
        <v/>
      </c>
    </row>
    <row r="59" ht="15.75" customHeight="1">
      <c r="A59" s="14">
        <v>54.0</v>
      </c>
      <c r="B59" s="13" t="str">
        <f>IF(C59="","",Identitas!$B$6&amp;"-"&amp;TEXT(Identitas!$B$15,"yyyymmdd")&amp;"-RL-"&amp;TEXT(A59,"000"))</f>
        <v/>
      </c>
      <c r="C59" s="8"/>
      <c r="D59" s="8"/>
      <c r="E59" s="12"/>
      <c r="F59" s="34"/>
      <c r="G59" s="15"/>
      <c r="H59" s="19">
        <f t="shared" si="1"/>
        <v>0</v>
      </c>
      <c r="I59" s="8"/>
      <c r="J59" s="8"/>
      <c r="K59" s="8"/>
      <c r="L59" s="14" t="str">
        <f>IF(J59="","",IF(COUNTIF(I_RegisterBukti!$C$5:$C$130,J59)&gt;1,"DUPLIKAT","Unik"))</f>
        <v/>
      </c>
      <c r="M59" s="14" t="str">
        <f>IF(C59="","",IF(E59="","TANGGAL KOSONG",IF(AND(E59&gt;=Identitas!$B$32,E59&lt;=Identitas!$B$33),"Sesuai","DI LUAR PERIODE")))</f>
        <v/>
      </c>
      <c r="N59" s="14" t="str">
        <f t="shared" si="2"/>
        <v/>
      </c>
    </row>
    <row r="60" ht="15.75" customHeight="1">
      <c r="A60" s="14">
        <v>55.0</v>
      </c>
      <c r="B60" s="13" t="str">
        <f>IF(C60="","",Identitas!$B$6&amp;"-"&amp;TEXT(Identitas!$B$15,"yyyymmdd")&amp;"-RL-"&amp;TEXT(A60,"000"))</f>
        <v/>
      </c>
      <c r="C60" s="8"/>
      <c r="D60" s="8"/>
      <c r="E60" s="12"/>
      <c r="F60" s="34"/>
      <c r="G60" s="15"/>
      <c r="H60" s="19">
        <f t="shared" si="1"/>
        <v>0</v>
      </c>
      <c r="I60" s="8"/>
      <c r="J60" s="8"/>
      <c r="K60" s="8"/>
      <c r="L60" s="14" t="str">
        <f>IF(J60="","",IF(COUNTIF(I_RegisterBukti!$C$5:$C$130,J60)&gt;1,"DUPLIKAT","Unik"))</f>
        <v/>
      </c>
      <c r="M60" s="14" t="str">
        <f>IF(C60="","",IF(E60="","TANGGAL KOSONG",IF(AND(E60&gt;=Identitas!$B$32,E60&lt;=Identitas!$B$33),"Sesuai","DI LUAR PERIODE")))</f>
        <v/>
      </c>
      <c r="N60" s="14" t="str">
        <f t="shared" si="2"/>
        <v/>
      </c>
    </row>
    <row r="61" ht="15.75" customHeight="1">
      <c r="A61" s="14">
        <v>56.0</v>
      </c>
      <c r="B61" s="13" t="str">
        <f>IF(C61="","",Identitas!$B$6&amp;"-"&amp;TEXT(Identitas!$B$15,"yyyymmdd")&amp;"-RL-"&amp;TEXT(A61,"000"))</f>
        <v/>
      </c>
      <c r="C61" s="8"/>
      <c r="D61" s="8"/>
      <c r="E61" s="12"/>
      <c r="F61" s="34"/>
      <c r="G61" s="15"/>
      <c r="H61" s="19">
        <f t="shared" si="1"/>
        <v>0</v>
      </c>
      <c r="I61" s="8"/>
      <c r="J61" s="8"/>
      <c r="K61" s="8"/>
      <c r="L61" s="14" t="str">
        <f>IF(J61="","",IF(COUNTIF(I_RegisterBukti!$C$5:$C$130,J61)&gt;1,"DUPLIKAT","Unik"))</f>
        <v/>
      </c>
      <c r="M61" s="14" t="str">
        <f>IF(C61="","",IF(E61="","TANGGAL KOSONG",IF(AND(E61&gt;=Identitas!$B$32,E61&lt;=Identitas!$B$33),"Sesuai","DI LUAR PERIODE")))</f>
        <v/>
      </c>
      <c r="N61" s="14" t="str">
        <f t="shared" si="2"/>
        <v/>
      </c>
    </row>
    <row r="62" ht="15.75" customHeight="1">
      <c r="A62" s="14">
        <v>57.0</v>
      </c>
      <c r="B62" s="13" t="str">
        <f>IF(C62="","",Identitas!$B$6&amp;"-"&amp;TEXT(Identitas!$B$15,"yyyymmdd")&amp;"-RL-"&amp;TEXT(A62,"000"))</f>
        <v/>
      </c>
      <c r="C62" s="8"/>
      <c r="D62" s="8"/>
      <c r="E62" s="12"/>
      <c r="F62" s="34"/>
      <c r="G62" s="15"/>
      <c r="H62" s="19">
        <f t="shared" si="1"/>
        <v>0</v>
      </c>
      <c r="I62" s="8"/>
      <c r="J62" s="8"/>
      <c r="K62" s="8"/>
      <c r="L62" s="14" t="str">
        <f>IF(J62="","",IF(COUNTIF(I_RegisterBukti!$C$5:$C$130,J62)&gt;1,"DUPLIKAT","Unik"))</f>
        <v/>
      </c>
      <c r="M62" s="14" t="str">
        <f>IF(C62="","",IF(E62="","TANGGAL KOSONG",IF(AND(E62&gt;=Identitas!$B$32,E62&lt;=Identitas!$B$33),"Sesuai","DI LUAR PERIODE")))</f>
        <v/>
      </c>
      <c r="N62" s="14" t="str">
        <f t="shared" si="2"/>
        <v/>
      </c>
    </row>
    <row r="63" ht="15.75" customHeight="1">
      <c r="A63" s="14">
        <v>58.0</v>
      </c>
      <c r="B63" s="13" t="str">
        <f>IF(C63="","",Identitas!$B$6&amp;"-"&amp;TEXT(Identitas!$B$15,"yyyymmdd")&amp;"-RL-"&amp;TEXT(A63,"000"))</f>
        <v/>
      </c>
      <c r="C63" s="8"/>
      <c r="D63" s="8"/>
      <c r="E63" s="12"/>
      <c r="F63" s="34"/>
      <c r="G63" s="15"/>
      <c r="H63" s="19">
        <f t="shared" si="1"/>
        <v>0</v>
      </c>
      <c r="I63" s="8"/>
      <c r="J63" s="8"/>
      <c r="K63" s="8"/>
      <c r="L63" s="14" t="str">
        <f>IF(J63="","",IF(COUNTIF(I_RegisterBukti!$C$5:$C$130,J63)&gt;1,"DUPLIKAT","Unik"))</f>
        <v/>
      </c>
      <c r="M63" s="14" t="str">
        <f>IF(C63="","",IF(E63="","TANGGAL KOSONG",IF(AND(E63&gt;=Identitas!$B$32,E63&lt;=Identitas!$B$33),"Sesuai","DI LUAR PERIODE")))</f>
        <v/>
      </c>
      <c r="N63" s="14" t="str">
        <f t="shared" si="2"/>
        <v/>
      </c>
    </row>
    <row r="64" ht="15.75" customHeight="1">
      <c r="A64" s="14">
        <v>59.0</v>
      </c>
      <c r="B64" s="13" t="str">
        <f>IF(C64="","",Identitas!$B$6&amp;"-"&amp;TEXT(Identitas!$B$15,"yyyymmdd")&amp;"-RL-"&amp;TEXT(A64,"000"))</f>
        <v/>
      </c>
      <c r="C64" s="8"/>
      <c r="D64" s="8"/>
      <c r="E64" s="12"/>
      <c r="F64" s="34"/>
      <c r="G64" s="15"/>
      <c r="H64" s="19">
        <f t="shared" si="1"/>
        <v>0</v>
      </c>
      <c r="I64" s="8"/>
      <c r="J64" s="8"/>
      <c r="K64" s="8"/>
      <c r="L64" s="14" t="str">
        <f>IF(J64="","",IF(COUNTIF(I_RegisterBukti!$C$5:$C$130,J64)&gt;1,"DUPLIKAT","Unik"))</f>
        <v/>
      </c>
      <c r="M64" s="14" t="str">
        <f>IF(C64="","",IF(E64="","TANGGAL KOSONG",IF(AND(E64&gt;=Identitas!$B$32,E64&lt;=Identitas!$B$33),"Sesuai","DI LUAR PERIODE")))</f>
        <v/>
      </c>
      <c r="N64" s="14" t="str">
        <f t="shared" si="2"/>
        <v/>
      </c>
    </row>
    <row r="65" ht="15.75" customHeight="1">
      <c r="A65" s="14">
        <v>60.0</v>
      </c>
      <c r="B65" s="13" t="str">
        <f>IF(C65="","",Identitas!$B$6&amp;"-"&amp;TEXT(Identitas!$B$15,"yyyymmdd")&amp;"-RL-"&amp;TEXT(A65,"000"))</f>
        <v/>
      </c>
      <c r="C65" s="8"/>
      <c r="D65" s="8"/>
      <c r="E65" s="12"/>
      <c r="F65" s="34"/>
      <c r="G65" s="15"/>
      <c r="H65" s="19">
        <f t="shared" si="1"/>
        <v>0</v>
      </c>
      <c r="I65" s="8"/>
      <c r="J65" s="8"/>
      <c r="K65" s="8"/>
      <c r="L65" s="14" t="str">
        <f>IF(J65="","",IF(COUNTIF(I_RegisterBukti!$C$5:$C$130,J65)&gt;1,"DUPLIKAT","Unik"))</f>
        <v/>
      </c>
      <c r="M65" s="14" t="str">
        <f>IF(C65="","",IF(E65="","TANGGAL KOSONG",IF(AND(E65&gt;=Identitas!$B$32,E65&lt;=Identitas!$B$33),"Sesuai","DI LUAR PERIODE")))</f>
        <v/>
      </c>
      <c r="N65" s="14" t="str">
        <f t="shared" si="2"/>
        <v/>
      </c>
    </row>
    <row r="66" ht="15.0" customHeight="1">
      <c r="A66" s="31" t="s">
        <v>280</v>
      </c>
      <c r="B66" s="33"/>
      <c r="C66" s="68">
        <f>COUNTIF(H6:H65,"&gt;0")</f>
        <v>47</v>
      </c>
      <c r="H66" s="35">
        <f>SUM(H6:H65)</f>
        <v>4230000</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66:B66"/>
  </mergeCells>
  <conditionalFormatting sqref="L6:N65">
    <cfRule type="cellIs" dxfId="0" priority="1" operator="equal">
      <formula>"DUPLIKAT"</formula>
    </cfRule>
  </conditionalFormatting>
  <conditionalFormatting sqref="L6:N65">
    <cfRule type="cellIs" dxfId="0" priority="2" operator="equal">
      <formula>"DI LUAR PERIODE"</formula>
    </cfRule>
  </conditionalFormatting>
  <conditionalFormatting sqref="L6:N65">
    <cfRule type="cellIs" dxfId="0" priority="3" operator="equal">
      <formula>"TANGGAL KOSONG"</formula>
    </cfRule>
  </conditionalFormatting>
  <conditionalFormatting sqref="L6:N65">
    <cfRule type="cellIs" dxfId="0" priority="4" operator="equal">
      <formula>"BELUM LENGKAP"</formula>
    </cfRule>
  </conditionalFormatting>
  <conditionalFormatting sqref="L6:N65">
    <cfRule type="cellIs" dxfId="0" priority="5" operator="equal">
      <formula>"BELUM ADA LINK"</formula>
    </cfRule>
  </conditionalFormatting>
  <dataValidations>
    <dataValidation type="custom" allowBlank="1" showInputMessage="1" showErrorMessage="1" prompt="Link tidak valid - Isi dengan tautan https:// ke lokasi unggah Cloud SIPGN." sqref="K6:K65">
      <formula1>OR(K6="",LEFT(K6,8)="https://")</formula1>
    </dataValidation>
    <dataValidation type="list" allowBlank="1" sqref="I6:I65">
      <formula1>"Tunai,Transfer"</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4.0"/>
    <col customWidth="1" min="2" max="2" width="14.0"/>
    <col customWidth="1" min="3" max="3" width="46.0"/>
    <col customWidth="1" min="4" max="26" width="8.71"/>
  </cols>
  <sheetData>
    <row r="1">
      <c r="A1" s="1" t="s">
        <v>412</v>
      </c>
    </row>
    <row r="2">
      <c r="A2" s="2" t="s">
        <v>413</v>
      </c>
    </row>
    <row r="4" ht="36.0" customHeight="1">
      <c r="A4" s="4" t="s">
        <v>414</v>
      </c>
      <c r="B4" s="4" t="s">
        <v>7</v>
      </c>
      <c r="C4" s="4" t="s">
        <v>415</v>
      </c>
    </row>
    <row r="5">
      <c r="A5" s="6" t="s">
        <v>416</v>
      </c>
      <c r="B5" s="14" t="str">
        <f>Identitas!B20</f>
        <v>Ya</v>
      </c>
      <c r="C5" s="28" t="str">
        <f>IF(B5="Ya","Ya","Tidak")</f>
        <v>Ya</v>
      </c>
    </row>
    <row r="6">
      <c r="A6" s="6" t="s">
        <v>417</v>
      </c>
      <c r="B6" s="21" t="s">
        <v>418</v>
      </c>
      <c r="C6" s="28" t="str">
        <f t="shared" ref="C6:C8" si="1">IF(B6="Tidak","Ya","Tidak")</f>
        <v>Ya</v>
      </c>
    </row>
    <row r="7">
      <c r="A7" s="6" t="s">
        <v>420</v>
      </c>
      <c r="B7" s="21" t="s">
        <v>418</v>
      </c>
      <c r="C7" s="28" t="str">
        <f t="shared" si="1"/>
        <v>Ya</v>
      </c>
    </row>
    <row r="8">
      <c r="A8" s="6" t="s">
        <v>421</v>
      </c>
      <c r="B8" s="21" t="s">
        <v>418</v>
      </c>
      <c r="C8" s="28" t="str">
        <f t="shared" si="1"/>
        <v>Ya</v>
      </c>
    </row>
    <row r="9">
      <c r="A9" s="6" t="s">
        <v>422</v>
      </c>
      <c r="B9" s="21" t="s">
        <v>133</v>
      </c>
      <c r="C9" s="28" t="str">
        <f t="shared" ref="C9:C10" si="2">IF(B9="Ya","Ya","Tidak")</f>
        <v>Ya</v>
      </c>
    </row>
    <row r="10">
      <c r="A10" s="6" t="s">
        <v>425</v>
      </c>
      <c r="B10" s="21" t="s">
        <v>133</v>
      </c>
      <c r="C10" s="28" t="str">
        <f t="shared" si="2"/>
        <v>Ya</v>
      </c>
    </row>
    <row r="11">
      <c r="A11" s="40" t="s">
        <v>426</v>
      </c>
      <c r="C11" s="41" t="str">
        <f>IF(COUNTIF(C5:C10,"Tidak")=0,"Ya","Tidak")</f>
        <v>Ya</v>
      </c>
    </row>
    <row r="13" ht="36.0" customHeight="1">
      <c r="A13" s="4" t="s">
        <v>427</v>
      </c>
      <c r="B13" s="4"/>
      <c r="C13" s="4" t="s">
        <v>359</v>
      </c>
    </row>
    <row r="14">
      <c r="A14" s="6" t="s">
        <v>361</v>
      </c>
      <c r="C14" s="19">
        <f>A_PM!C47</f>
        <v>2339</v>
      </c>
    </row>
    <row r="15">
      <c r="A15" s="6" t="s">
        <v>428</v>
      </c>
      <c r="C15" s="19">
        <f>Ref!B5</f>
        <v>2000</v>
      </c>
    </row>
    <row r="16">
      <c r="A16" s="40" t="s">
        <v>429</v>
      </c>
      <c r="C16" s="35">
        <f>IF(C11="Ya",C14*C15,0)</f>
        <v>4678000</v>
      </c>
    </row>
    <row r="18" ht="36.0" customHeight="1">
      <c r="A18" s="4" t="s">
        <v>433</v>
      </c>
      <c r="B18" s="4"/>
      <c r="C18" s="4" t="s">
        <v>7</v>
      </c>
    </row>
    <row r="19">
      <c r="A19" s="6" t="s">
        <v>434</v>
      </c>
      <c r="C19" s="8" t="s">
        <v>435</v>
      </c>
    </row>
    <row r="20">
      <c r="A20" s="6" t="s">
        <v>436</v>
      </c>
      <c r="C20" s="15">
        <v>4678000.0</v>
      </c>
    </row>
    <row r="21" ht="15.75" customHeight="1">
      <c r="A21" s="6" t="s">
        <v>437</v>
      </c>
      <c r="C21" s="15">
        <v>4678000.0</v>
      </c>
    </row>
    <row r="22" ht="15.75" customHeight="1">
      <c r="A22" s="6" t="s">
        <v>438</v>
      </c>
      <c r="C22" s="12">
        <v>46300.0</v>
      </c>
    </row>
    <row r="23" ht="15.75" customHeight="1">
      <c r="A23" s="6" t="s">
        <v>439</v>
      </c>
      <c r="C23" s="8" t="s">
        <v>440</v>
      </c>
    </row>
    <row r="24" ht="15.75" customHeight="1">
      <c r="A24" s="6" t="s">
        <v>441</v>
      </c>
      <c r="C24" s="8" t="s">
        <v>442</v>
      </c>
    </row>
    <row r="25" ht="15.75" customHeight="1">
      <c r="A25" s="6" t="s">
        <v>443</v>
      </c>
      <c r="C25" s="8" t="s">
        <v>133</v>
      </c>
    </row>
    <row r="26" ht="15.75" customHeight="1">
      <c r="A26" s="6" t="s">
        <v>444</v>
      </c>
      <c r="C26" s="8" t="s">
        <v>445</v>
      </c>
    </row>
    <row r="27" ht="15.75" customHeight="1">
      <c r="A27" s="6" t="s">
        <v>446</v>
      </c>
      <c r="C27" s="8" t="s">
        <v>447</v>
      </c>
    </row>
    <row r="28" ht="15.75" customHeight="1">
      <c r="A28" s="6" t="s">
        <v>448</v>
      </c>
      <c r="C28" s="13" t="str">
        <f>IF(N(C21)=0,"",Identitas!$B$6&amp;"-"&amp;TEXT(Identitas!$B$15,"yyyymmdd")&amp;"-INS-"&amp;TEXT(1,"000"))</f>
        <v>18.71.XX.XXXX-20261005-INS-001</v>
      </c>
    </row>
    <row r="29" ht="15.75" customHeight="1"/>
    <row r="30" ht="36.0" customHeight="1">
      <c r="A30" s="4" t="s">
        <v>453</v>
      </c>
      <c r="B30" s="4"/>
      <c r="C30" s="4" t="s">
        <v>454</v>
      </c>
    </row>
    <row r="31" ht="15.75" customHeight="1">
      <c r="A31" s="6" t="s">
        <v>456</v>
      </c>
      <c r="C31" s="24">
        <f>C21-C20</f>
        <v>0</v>
      </c>
    </row>
    <row r="32" ht="15.75" customHeight="1">
      <c r="A32" s="6" t="s">
        <v>463</v>
      </c>
      <c r="C32" s="14" t="str">
        <f>IF(C23="","",IF(COUNTIF(I_RegisterBukti!$C$5:$C$130,C23)&gt;1,"DUPLIKAT","Unik"))</f>
        <v>Unik</v>
      </c>
    </row>
    <row r="33" ht="15.75" customHeight="1">
      <c r="A33" s="6" t="s">
        <v>464</v>
      </c>
      <c r="C33" s="14" t="str">
        <f>IF(C21="","",IF(C22="","TANGGAL KOSONG",IF(AND(C22&gt;=Identitas!$B$32,C22&lt;=Identitas!$B$33),"Sesuai","DI LUAR PERIODE")))</f>
        <v>Sesuai</v>
      </c>
    </row>
    <row r="34" ht="15.75" customHeight="1">
      <c r="A34" s="6" t="s">
        <v>466</v>
      </c>
      <c r="C34" s="28" t="str">
        <f>IF(N(C21)=0,"",IF(AND(C23&lt;&gt;"",C24&lt;&gt;"",C25="Ya",LEFT(C26,8)="https://"),"Lengkap","BELUM LENGKAP"))</f>
        <v>Lengkap</v>
      </c>
    </row>
    <row r="35" ht="15.75" customHeight="1"/>
    <row r="36" ht="15.75" customHeight="1">
      <c r="A36" s="2" t="s">
        <v>470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2:C34">
    <cfRule type="cellIs" dxfId="0" priority="1" operator="equal">
      <formula>"DUPLIKAT"</formula>
    </cfRule>
  </conditionalFormatting>
  <conditionalFormatting sqref="C32:C34">
    <cfRule type="cellIs" dxfId="0" priority="2" operator="equal">
      <formula>"DI LUAR PERIODE"</formula>
    </cfRule>
  </conditionalFormatting>
  <conditionalFormatting sqref="C32:C34">
    <cfRule type="cellIs" dxfId="0" priority="3" operator="equal">
      <formula>"TANGGAL KOSONG"</formula>
    </cfRule>
  </conditionalFormatting>
  <conditionalFormatting sqref="C32:C34">
    <cfRule type="cellIs" dxfId="0" priority="4" operator="equal">
      <formula>"BELUM LENGKAP"</formula>
    </cfRule>
  </conditionalFormatting>
  <conditionalFormatting sqref="C32:C34">
    <cfRule type="cellIs" dxfId="0" priority="5" operator="equal">
      <formula>"BELUM ADA LINK"</formula>
    </cfRule>
  </conditionalFormatting>
  <dataValidations>
    <dataValidation type="custom" allowBlank="1" showInputMessage="1" showErrorMessage="1" prompt="Link tidak valid - Isi dengan tautan https:// ke lokasi unggah Cloud SIPGN." sqref="C26">
      <formula1>OR(C26="",LEFT(C26,8)="https://")</formula1>
    </dataValidation>
    <dataValidation type="list" allowBlank="1" sqref="B6:B10 C25">
      <formula1>"Ya,Tidak"</formula1>
    </dataValidation>
  </dataValidation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0.0"/>
    <col customWidth="1" min="2" max="2" width="30.0"/>
    <col customWidth="1" min="3" max="3" width="20.0"/>
    <col customWidth="1" min="4" max="4" width="24.0"/>
    <col customWidth="1" min="5" max="5" width="20.0"/>
    <col customWidth="1" min="6" max="7" width="16.0"/>
    <col customWidth="1" min="8" max="9" width="18.0"/>
    <col customWidth="1" min="10" max="10" width="40.0"/>
    <col customWidth="1" min="11" max="11" width="13.0"/>
    <col customWidth="1" min="12" max="13" width="15.0"/>
    <col customWidth="1" min="14" max="26" width="8.71"/>
  </cols>
  <sheetData>
    <row r="1">
      <c r="A1" s="1" t="s">
        <v>449</v>
      </c>
    </row>
    <row r="2">
      <c r="A2" s="2" t="s">
        <v>450</v>
      </c>
    </row>
    <row r="4" ht="36.0" customHeight="1">
      <c r="A4" s="4" t="s">
        <v>452</v>
      </c>
      <c r="B4" s="4" t="s">
        <v>455</v>
      </c>
      <c r="C4" s="4" t="s">
        <v>457</v>
      </c>
      <c r="D4" s="4" t="s">
        <v>458</v>
      </c>
      <c r="E4" s="4" t="s">
        <v>460</v>
      </c>
      <c r="F4" s="4" t="s">
        <v>102</v>
      </c>
    </row>
    <row r="5">
      <c r="A5" s="6" t="s">
        <v>462</v>
      </c>
      <c r="B5" s="15">
        <v>2.5E8</v>
      </c>
      <c r="C5" s="19">
        <f>E24</f>
        <v>20000000</v>
      </c>
      <c r="D5" s="19">
        <f>B_BahanBaku!I46</f>
        <v>18885000</v>
      </c>
      <c r="E5" s="24">
        <f t="shared" ref="E5:E7" si="1">B5+C5-D5</f>
        <v>251115000</v>
      </c>
      <c r="F5" s="8"/>
    </row>
    <row r="6">
      <c r="A6" s="6" t="s">
        <v>469</v>
      </c>
      <c r="B6" s="15">
        <v>9.0E7</v>
      </c>
      <c r="C6" s="19">
        <f>F24</f>
        <v>7000000</v>
      </c>
      <c r="D6" s="19">
        <f>C_Operasional!H22</f>
        <v>6790000</v>
      </c>
      <c r="E6" s="24">
        <f t="shared" si="1"/>
        <v>90210000</v>
      </c>
      <c r="F6" s="8"/>
    </row>
    <row r="7">
      <c r="A7" s="6" t="s">
        <v>471</v>
      </c>
      <c r="B7" s="15">
        <v>2.5E7</v>
      </c>
      <c r="C7" s="19">
        <f>G24</f>
        <v>5000000</v>
      </c>
      <c r="D7" s="19">
        <f>D_Insentif!C21</f>
        <v>4678000</v>
      </c>
      <c r="E7" s="24">
        <f t="shared" si="1"/>
        <v>25322000</v>
      </c>
      <c r="F7" s="8"/>
    </row>
    <row r="8">
      <c r="A8" s="40" t="s">
        <v>280</v>
      </c>
      <c r="B8" s="35">
        <f t="shared" ref="B8:E8" si="2">SUM(B5:B7)</f>
        <v>365000000</v>
      </c>
      <c r="C8" s="35">
        <f t="shared" si="2"/>
        <v>32000000</v>
      </c>
      <c r="D8" s="35">
        <f t="shared" si="2"/>
        <v>30353000</v>
      </c>
      <c r="E8" s="35">
        <f t="shared" si="2"/>
        <v>366647000</v>
      </c>
    </row>
    <row r="10">
      <c r="A10" s="6" t="s">
        <v>475</v>
      </c>
      <c r="E10" s="15">
        <v>3.66647E8</v>
      </c>
    </row>
    <row r="11">
      <c r="A11" s="40" t="s">
        <v>476</v>
      </c>
      <c r="E11" s="24">
        <f>IF(E10="","",E8-E10)</f>
        <v>0</v>
      </c>
    </row>
    <row r="12">
      <c r="A12" s="6" t="s">
        <v>478</v>
      </c>
      <c r="E12" s="17"/>
    </row>
    <row r="14">
      <c r="A14" s="6" t="s">
        <v>479</v>
      </c>
      <c r="E14" s="19">
        <f>D_Insentif!C16</f>
        <v>4678000</v>
      </c>
    </row>
    <row r="16">
      <c r="A16" s="2" t="s">
        <v>487</v>
      </c>
    </row>
    <row r="18" ht="36.0" customHeight="1">
      <c r="A18" s="4" t="s">
        <v>85</v>
      </c>
      <c r="B18" s="4" t="s">
        <v>86</v>
      </c>
      <c r="C18" s="4" t="s">
        <v>489</v>
      </c>
      <c r="D18" s="4" t="s">
        <v>490</v>
      </c>
      <c r="E18" s="4" t="s">
        <v>491</v>
      </c>
      <c r="F18" s="4" t="s">
        <v>492</v>
      </c>
      <c r="G18" s="4" t="s">
        <v>493</v>
      </c>
      <c r="H18" s="4" t="s">
        <v>494</v>
      </c>
      <c r="I18" s="4" t="s">
        <v>495</v>
      </c>
      <c r="J18" s="4" t="s">
        <v>496</v>
      </c>
      <c r="K18" s="4" t="s">
        <v>99</v>
      </c>
      <c r="L18" s="4" t="s">
        <v>101</v>
      </c>
      <c r="M18" s="4" t="s">
        <v>275</v>
      </c>
    </row>
    <row r="19">
      <c r="A19" s="14">
        <v>1.0</v>
      </c>
      <c r="B19" s="13" t="str">
        <f>IF(N(H19)=0,"",Identitas!$B$6&amp;"-"&amp;TEXT(Identitas!$B$15,"yyyymmdd")&amp;"-TU-"&amp;TEXT(A19,"000"))</f>
        <v>18.71.XX.XXXX-20261005-TU-001</v>
      </c>
      <c r="C19" s="12">
        <v>46300.0</v>
      </c>
      <c r="D19" s="8" t="s">
        <v>501</v>
      </c>
      <c r="E19" s="15">
        <v>2.0E7</v>
      </c>
      <c r="F19" s="15">
        <v>7000000.0</v>
      </c>
      <c r="G19" s="15">
        <v>5000000.0</v>
      </c>
      <c r="H19" s="24">
        <f t="shared" ref="H19:H23" si="3">SUM(E19:G19)</f>
        <v>32000000</v>
      </c>
      <c r="I19" s="8" t="s">
        <v>503</v>
      </c>
      <c r="J19" s="8" t="s">
        <v>504</v>
      </c>
      <c r="K19" s="14" t="str">
        <f>IF(I19="","",IF(COUNTIF(I_RegisterBukti!$C$5:$C$130,I19)&gt;1,"DUPLIKAT","Unik"))</f>
        <v>Unik</v>
      </c>
      <c r="L19" s="14" t="str">
        <f>IF(N(H19)=0,"",IF(C19="","TANGGAL KOSONG",IF(AND(C19&gt;=Identitas!$B$32,C19&lt;=Identitas!$B$33),"Sesuai","DI LUAR PERIODE")))</f>
        <v>Sesuai</v>
      </c>
      <c r="M19" s="14" t="str">
        <f t="shared" ref="M19:M23" si="4">IF(N(H19)=0,"",IF(AND(C19&lt;&gt;"",I19&lt;&gt;"",LEFT(J19,8)="https://"),"Lengkap","BELUM LENGKAP"))</f>
        <v>Lengkap</v>
      </c>
    </row>
    <row r="20">
      <c r="A20" s="14">
        <v>2.0</v>
      </c>
      <c r="B20" s="13" t="str">
        <f>IF(N(H20)=0,"",Identitas!$B$6&amp;"-"&amp;TEXT(Identitas!$B$15,"yyyymmdd")&amp;"-TU-"&amp;TEXT(A20,"000"))</f>
        <v/>
      </c>
      <c r="C20" s="12"/>
      <c r="D20" s="8"/>
      <c r="E20" s="15"/>
      <c r="F20" s="15"/>
      <c r="G20" s="15"/>
      <c r="H20" s="24">
        <f t="shared" si="3"/>
        <v>0</v>
      </c>
      <c r="I20" s="8"/>
      <c r="J20" s="8"/>
      <c r="K20" s="14" t="str">
        <f>IF(I20="","",IF(COUNTIF(I_RegisterBukti!$C$5:$C$130,I20)&gt;1,"DUPLIKAT","Unik"))</f>
        <v/>
      </c>
      <c r="L20" s="14" t="str">
        <f>IF(N(H20)=0,"",IF(C20="","TANGGAL KOSONG",IF(AND(C20&gt;=Identitas!$B$32,C20&lt;=Identitas!$B$33),"Sesuai","DI LUAR PERIODE")))</f>
        <v/>
      </c>
      <c r="M20" s="14" t="str">
        <f t="shared" si="4"/>
        <v/>
      </c>
    </row>
    <row r="21" ht="15.75" customHeight="1">
      <c r="A21" s="14">
        <v>3.0</v>
      </c>
      <c r="B21" s="13" t="str">
        <f>IF(N(H21)=0,"",Identitas!$B$6&amp;"-"&amp;TEXT(Identitas!$B$15,"yyyymmdd")&amp;"-TU-"&amp;TEXT(A21,"000"))</f>
        <v/>
      </c>
      <c r="C21" s="12"/>
      <c r="D21" s="8"/>
      <c r="E21" s="15"/>
      <c r="F21" s="15"/>
      <c r="G21" s="15"/>
      <c r="H21" s="24">
        <f t="shared" si="3"/>
        <v>0</v>
      </c>
      <c r="I21" s="8"/>
      <c r="J21" s="8"/>
      <c r="K21" s="14" t="str">
        <f>IF(I21="","",IF(COUNTIF(I_RegisterBukti!$C$5:$C$130,I21)&gt;1,"DUPLIKAT","Unik"))</f>
        <v/>
      </c>
      <c r="L21" s="14" t="str">
        <f>IF(N(H21)=0,"",IF(C21="","TANGGAL KOSONG",IF(AND(C21&gt;=Identitas!$B$32,C21&lt;=Identitas!$B$33),"Sesuai","DI LUAR PERIODE")))</f>
        <v/>
      </c>
      <c r="M21" s="14" t="str">
        <f t="shared" si="4"/>
        <v/>
      </c>
    </row>
    <row r="22" ht="15.75" customHeight="1">
      <c r="A22" s="14">
        <v>4.0</v>
      </c>
      <c r="B22" s="13" t="str">
        <f>IF(N(H22)=0,"",Identitas!$B$6&amp;"-"&amp;TEXT(Identitas!$B$15,"yyyymmdd")&amp;"-TU-"&amp;TEXT(A22,"000"))</f>
        <v/>
      </c>
      <c r="C22" s="12"/>
      <c r="D22" s="8"/>
      <c r="E22" s="15"/>
      <c r="F22" s="15"/>
      <c r="G22" s="15"/>
      <c r="H22" s="24">
        <f t="shared" si="3"/>
        <v>0</v>
      </c>
      <c r="I22" s="8"/>
      <c r="J22" s="8"/>
      <c r="K22" s="14" t="str">
        <f>IF(I22="","",IF(COUNTIF(I_RegisterBukti!$C$5:$C$130,I22)&gt;1,"DUPLIKAT","Unik"))</f>
        <v/>
      </c>
      <c r="L22" s="14" t="str">
        <f>IF(N(H22)=0,"",IF(C22="","TANGGAL KOSONG",IF(AND(C22&gt;=Identitas!$B$32,C22&lt;=Identitas!$B$33),"Sesuai","DI LUAR PERIODE")))</f>
        <v/>
      </c>
      <c r="M22" s="14" t="str">
        <f t="shared" si="4"/>
        <v/>
      </c>
    </row>
    <row r="23" ht="15.75" customHeight="1">
      <c r="A23" s="14">
        <v>5.0</v>
      </c>
      <c r="B23" s="13" t="str">
        <f>IF(N(H23)=0,"",Identitas!$B$6&amp;"-"&amp;TEXT(Identitas!$B$15,"yyyymmdd")&amp;"-TU-"&amp;TEXT(A23,"000"))</f>
        <v/>
      </c>
      <c r="C23" s="12"/>
      <c r="D23" s="8"/>
      <c r="E23" s="15"/>
      <c r="F23" s="15"/>
      <c r="G23" s="15"/>
      <c r="H23" s="24">
        <f t="shared" si="3"/>
        <v>0</v>
      </c>
      <c r="I23" s="8"/>
      <c r="J23" s="8"/>
      <c r="K23" s="14" t="str">
        <f>IF(I23="","",IF(COUNTIF(I_RegisterBukti!$C$5:$C$130,I23)&gt;1,"DUPLIKAT","Unik"))</f>
        <v/>
      </c>
      <c r="L23" s="14" t="str">
        <f>IF(N(H23)=0,"",IF(C23="","TANGGAL KOSONG",IF(AND(C23&gt;=Identitas!$B$32,C23&lt;=Identitas!$B$33),"Sesuai","DI LUAR PERIODE")))</f>
        <v/>
      </c>
      <c r="M23" s="14" t="str">
        <f t="shared" si="4"/>
        <v/>
      </c>
    </row>
    <row r="24" ht="15.0" customHeight="1">
      <c r="A24" s="31" t="s">
        <v>280</v>
      </c>
      <c r="B24" s="32"/>
      <c r="C24" s="32"/>
      <c r="D24" s="33"/>
      <c r="E24" s="35">
        <f t="shared" ref="E24:H24" si="5">SUM(E19:E23)</f>
        <v>20000000</v>
      </c>
      <c r="F24" s="35">
        <f t="shared" si="5"/>
        <v>7000000</v>
      </c>
      <c r="G24" s="35">
        <f t="shared" si="5"/>
        <v>5000000</v>
      </c>
      <c r="H24" s="35">
        <f t="shared" si="5"/>
        <v>32000000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D24"/>
  </mergeCells>
  <conditionalFormatting sqref="K19:M23">
    <cfRule type="cellIs" dxfId="0" priority="1" operator="equal">
      <formula>"DUPLIKAT"</formula>
    </cfRule>
  </conditionalFormatting>
  <conditionalFormatting sqref="K19:M23">
    <cfRule type="cellIs" dxfId="0" priority="2" operator="equal">
      <formula>"DI LUAR PERIODE"</formula>
    </cfRule>
  </conditionalFormatting>
  <conditionalFormatting sqref="K19:M23">
    <cfRule type="cellIs" dxfId="0" priority="3" operator="equal">
      <formula>"TANGGAL KOSONG"</formula>
    </cfRule>
  </conditionalFormatting>
  <conditionalFormatting sqref="K19:M23">
    <cfRule type="cellIs" dxfId="0" priority="4" operator="equal">
      <formula>"BELUM LENGKAP"</formula>
    </cfRule>
  </conditionalFormatting>
  <conditionalFormatting sqref="K19:M23">
    <cfRule type="cellIs" dxfId="0" priority="5" operator="equal">
      <formula>"BELUM ADA LINK"</formula>
    </cfRule>
  </conditionalFormatting>
  <dataValidations>
    <dataValidation type="custom" allowBlank="1" showInputMessage="1" showErrorMessage="1" prompt="Link tidak valid - Isi dengan tautan https:// ke lokasi unggah Cloud SIPGN." sqref="J19:J23">
      <formula1>OR(J19="",LEFT(J19,8)="https://")</formula1>
    </dataValidation>
  </dataValidation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0"/>
    <col customWidth="1" min="2" max="2" width="26.0"/>
    <col customWidth="1" min="3" max="3" width="22.0"/>
    <col customWidth="1" min="4" max="4" width="18.0"/>
    <col customWidth="1" min="5" max="5" width="44.0"/>
    <col customWidth="1" min="6" max="26" width="8.71"/>
  </cols>
  <sheetData>
    <row r="1">
      <c r="A1" s="1" t="s">
        <v>482</v>
      </c>
    </row>
    <row r="2">
      <c r="A2" s="2" t="s">
        <v>483</v>
      </c>
    </row>
    <row r="4" ht="36.0" customHeight="1">
      <c r="A4" s="4" t="s">
        <v>452</v>
      </c>
      <c r="B4" s="4" t="s">
        <v>484</v>
      </c>
      <c r="C4" s="4" t="s">
        <v>485</v>
      </c>
      <c r="D4" s="4" t="s">
        <v>486</v>
      </c>
      <c r="E4" s="4" t="s">
        <v>488</v>
      </c>
    </row>
    <row r="5">
      <c r="A5" s="6" t="s">
        <v>462</v>
      </c>
      <c r="B5" s="19">
        <f>B_BahanBaku!I46</f>
        <v>18885000</v>
      </c>
      <c r="C5" s="42"/>
      <c r="D5" s="19" t="str">
        <f t="shared" ref="D5:D7" si="1">IF(C5="","",C5-B5)</f>
        <v/>
      </c>
      <c r="E5" s="43"/>
    </row>
    <row r="6">
      <c r="A6" s="6" t="s">
        <v>469</v>
      </c>
      <c r="B6" s="19">
        <f>C_Operasional!H22</f>
        <v>6790000</v>
      </c>
      <c r="C6" s="42"/>
      <c r="D6" s="19" t="str">
        <f t="shared" si="1"/>
        <v/>
      </c>
      <c r="E6" s="43"/>
    </row>
    <row r="7">
      <c r="A7" s="6" t="s">
        <v>471</v>
      </c>
      <c r="B7" s="19">
        <f>D_Insentif!C16</f>
        <v>4678000</v>
      </c>
      <c r="C7" s="42"/>
      <c r="D7" s="19" t="str">
        <f t="shared" si="1"/>
        <v/>
      </c>
      <c r="E7" s="43"/>
    </row>
    <row r="8">
      <c r="A8" s="40" t="s">
        <v>280</v>
      </c>
      <c r="B8" s="35">
        <f t="shared" ref="B8:D8" si="2">SUM(B5:B7)</f>
        <v>30353000</v>
      </c>
      <c r="C8" s="35">
        <f t="shared" si="2"/>
        <v>0</v>
      </c>
      <c r="D8" s="35">
        <f t="shared" si="2"/>
        <v>0</v>
      </c>
    </row>
    <row r="10">
      <c r="A10" s="6" t="s">
        <v>507</v>
      </c>
      <c r="C10" s="19">
        <f>MAX(0,Ref!B9-E_Saldo!E8)</f>
        <v>133353000</v>
      </c>
    </row>
    <row r="11">
      <c r="A11" s="6" t="s">
        <v>508</v>
      </c>
      <c r="C11" s="16" t="str">
        <f>IF(B8&lt;=C10,"Ya","Melebihi batas: sesuaikan")</f>
        <v>Ya</v>
      </c>
    </row>
    <row r="13">
      <c r="A13" s="6" t="s">
        <v>515</v>
      </c>
      <c r="C13" s="44"/>
    </row>
    <row r="14">
      <c r="A14" s="6" t="s">
        <v>517</v>
      </c>
      <c r="C14" s="4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74.0"/>
    <col customWidth="1" min="3" max="4" width="30.0"/>
    <col customWidth="1" min="5" max="26" width="8.71"/>
  </cols>
  <sheetData>
    <row r="1">
      <c r="A1" s="1" t="s">
        <v>510</v>
      </c>
    </row>
    <row r="2">
      <c r="A2" s="2" t="s">
        <v>511</v>
      </c>
    </row>
    <row r="4" ht="36.0" customHeight="1">
      <c r="A4" s="4" t="s">
        <v>85</v>
      </c>
      <c r="B4" s="4" t="s">
        <v>514</v>
      </c>
      <c r="C4" s="4" t="s">
        <v>454</v>
      </c>
      <c r="D4" s="4" t="s">
        <v>516</v>
      </c>
    </row>
    <row r="5">
      <c r="A5" s="14">
        <v>1.0</v>
      </c>
      <c r="B5" s="6" t="s">
        <v>518</v>
      </c>
      <c r="C5" s="28" t="str">
        <f>IF(COUNTA(Identitas!B6,Identitas!B7,Identitas!B13,Identitas!B15)=4,"OK","PERIKSA")</f>
        <v>OK</v>
      </c>
      <c r="D5" s="6" t="s">
        <v>519</v>
      </c>
    </row>
    <row r="6">
      <c r="A6" s="14">
        <v>2.0</v>
      </c>
      <c r="B6" s="6" t="s">
        <v>520</v>
      </c>
      <c r="C6" s="28" t="str">
        <f>IF(Identitas!B20="Ya","OK","PERIKSA")</f>
        <v>OK</v>
      </c>
      <c r="D6" s="6" t="s">
        <v>522</v>
      </c>
    </row>
    <row r="7">
      <c r="A7" s="14">
        <v>3.0</v>
      </c>
      <c r="B7" s="6" t="s">
        <v>523</v>
      </c>
      <c r="C7" s="28" t="str">
        <f>IF(A_PM!C26=0,"OK","PERIKSA")</f>
        <v>OK</v>
      </c>
      <c r="D7" s="6" t="s">
        <v>302</v>
      </c>
    </row>
    <row r="8">
      <c r="A8" s="14">
        <v>4.0</v>
      </c>
      <c r="B8" s="6" t="s">
        <v>526</v>
      </c>
      <c r="C8" s="28" t="str">
        <f>IF(AND(A_PM!C41=0,SUMPRODUCT((A_PM!J6:J15&lt;&gt;0)*1)=0),"OK","PERIKSA")</f>
        <v>OK</v>
      </c>
      <c r="D8" s="6" t="s">
        <v>528</v>
      </c>
    </row>
    <row r="9">
      <c r="A9" s="14">
        <v>5.0</v>
      </c>
      <c r="B9" s="6" t="s">
        <v>529</v>
      </c>
      <c r="C9" s="28" t="str">
        <f>IF(SUMPRODUCT((A_PM!H6:H15&gt;0)*(A_PM!I6:I15=""))=0,"OK","PERIKSA")</f>
        <v>OK</v>
      </c>
      <c r="D9" s="6" t="s">
        <v>532</v>
      </c>
    </row>
    <row r="10">
      <c r="A10" s="14">
        <v>6.0</v>
      </c>
      <c r="B10" s="6" t="s">
        <v>533</v>
      </c>
      <c r="C10" s="28" t="str">
        <f>IF(Ref!B12="","BELUM DITETAPKAN",IF(A_PM!C27&lt;=Ref!B12,"OK","PERIKSA"))</f>
        <v>BELUM DITETAPKAN</v>
      </c>
      <c r="D10" s="6" t="s">
        <v>534</v>
      </c>
    </row>
    <row r="11">
      <c r="A11" s="14">
        <v>7.0</v>
      </c>
      <c r="B11" s="6" t="s">
        <v>535</v>
      </c>
      <c r="C11" s="28" t="str">
        <f>IF(SUMPRODUCT((A_PM!G6:G15&gt;0)*((A_PM!K6:K15&lt;&gt;"Ya")+(A_PM!L6:L15="")&gt;0))=0,"OK","PERIKSA")</f>
        <v>OK</v>
      </c>
      <c r="D11" s="6" t="s">
        <v>539</v>
      </c>
    </row>
    <row r="12">
      <c r="A12" s="14">
        <v>8.0</v>
      </c>
      <c r="B12" s="6" t="s">
        <v>540</v>
      </c>
      <c r="C12" s="28" t="str">
        <f>IF(A_PM!C52=0,"OK","PERIKSA")</f>
        <v>OK</v>
      </c>
      <c r="D12" s="6" t="s">
        <v>541</v>
      </c>
    </row>
    <row r="13">
      <c r="A13" s="14">
        <v>9.0</v>
      </c>
      <c r="B13" s="6" t="s">
        <v>542</v>
      </c>
      <c r="C13" s="28" t="str">
        <f>IF(A_PM!O16&lt;=A_PM!E16,"OK","PERIKSA")</f>
        <v>OK</v>
      </c>
      <c r="D13" s="6" t="s">
        <v>543</v>
      </c>
    </row>
    <row r="14">
      <c r="A14" s="14">
        <v>10.0</v>
      </c>
      <c r="B14" s="6" t="s">
        <v>544</v>
      </c>
      <c r="C14" s="28" t="str">
        <f>IF(ISNUMBER(MATCH(Identitas!B10,Ref!$B$64:$B$213,0)),"OK","PERIKSA")</f>
        <v>OK</v>
      </c>
      <c r="D14" s="6" t="s">
        <v>546</v>
      </c>
    </row>
    <row r="15">
      <c r="A15" s="14">
        <v>11.0</v>
      </c>
      <c r="B15" s="6" t="s">
        <v>547</v>
      </c>
      <c r="C15" s="28" t="str">
        <f>IF(B_BahanBaku!I50&lt;=B_BahanBaku!I51,"OK","PERIKSA")</f>
        <v>OK</v>
      </c>
      <c r="D15" s="6" t="s">
        <v>550</v>
      </c>
    </row>
    <row r="16">
      <c r="A16" s="14">
        <v>12.0</v>
      </c>
      <c r="B16" s="6" t="s">
        <v>551</v>
      </c>
      <c r="C16" s="28" t="str">
        <f>IF(C_Operasional!H26&lt;=C_Operasional!H27,"OK","PERIKSA")</f>
        <v>OK</v>
      </c>
      <c r="D16" s="6" t="s">
        <v>550</v>
      </c>
    </row>
    <row r="17">
      <c r="A17" s="14">
        <v>13.0</v>
      </c>
      <c r="B17" s="6" t="s">
        <v>552</v>
      </c>
      <c r="C17" s="28" t="str">
        <f>IF(I_RegisterBukti!C129=0,"OK","PERIKSA")</f>
        <v>OK</v>
      </c>
      <c r="D17" s="6" t="s">
        <v>541</v>
      </c>
    </row>
    <row r="18">
      <c r="A18" s="14">
        <v>14.0</v>
      </c>
      <c r="B18" s="6" t="s">
        <v>554</v>
      </c>
      <c r="C18" s="28" t="str">
        <f>IF(I_RegisterBukti!C127=0,"OK","PERIKSA")</f>
        <v>#REF!</v>
      </c>
      <c r="D18" s="6" t="s">
        <v>541</v>
      </c>
    </row>
    <row r="19">
      <c r="A19" s="14">
        <v>15.0</v>
      </c>
      <c r="B19" s="6" t="s">
        <v>557</v>
      </c>
      <c r="C19" s="28" t="str">
        <f>IF(I_RegisterBukti!C128=0,"OK","PERIKSA")</f>
        <v>OK</v>
      </c>
      <c r="D19" s="6" t="s">
        <v>541</v>
      </c>
    </row>
    <row r="20">
      <c r="A20" s="14">
        <v>16.0</v>
      </c>
      <c r="B20" s="6" t="s">
        <v>560</v>
      </c>
      <c r="C20" s="28" t="str">
        <f>IF(COUNTIF('C1_Relawan'!N6:N65,"BELUM LENGKAP")=0,"OK","PERIKSA")</f>
        <v>OK</v>
      </c>
      <c r="D20" s="6" t="s">
        <v>541</v>
      </c>
    </row>
    <row r="21" ht="15.75" customHeight="1">
      <c r="A21" s="14">
        <v>17.0</v>
      </c>
      <c r="B21" s="6" t="s">
        <v>572</v>
      </c>
      <c r="C21" s="28" t="str">
        <f>IF(D_Insentif!C11="Ya","OK","PERIKSA")</f>
        <v>OK</v>
      </c>
      <c r="D21" s="6" t="s">
        <v>584</v>
      </c>
    </row>
    <row r="22" ht="15.75" customHeight="1">
      <c r="A22" s="14">
        <v>18.0</v>
      </c>
      <c r="B22" s="6" t="s">
        <v>586</v>
      </c>
      <c r="C22" s="28" t="str">
        <f>IF(D_Insentif!C16=IF(D_Insentif!C11="Ya",A_PM!C47*Ref!B5,0),"OK","PERIKSA")</f>
        <v>OK</v>
      </c>
      <c r="D22" s="6" t="s">
        <v>604</v>
      </c>
    </row>
    <row r="23" ht="15.75" customHeight="1">
      <c r="A23" s="14">
        <v>19.0</v>
      </c>
      <c r="B23" s="6" t="s">
        <v>607</v>
      </c>
      <c r="C23" s="28" t="str">
        <f>IF(D_Insentif!C31=0,"OK","PERIKSA")</f>
        <v>OK</v>
      </c>
      <c r="D23" s="6" t="s">
        <v>616</v>
      </c>
    </row>
    <row r="24" ht="15.75" customHeight="1">
      <c r="A24" s="14">
        <v>20.0</v>
      </c>
      <c r="B24" s="6" t="s">
        <v>619</v>
      </c>
      <c r="C24" s="28" t="str">
        <f>IF(OR(N(D_Insentif!C21)=0,D_Insentif!C34="Lengkap"),"OK","PERIKSA")</f>
        <v>OK</v>
      </c>
      <c r="D24" s="6" t="s">
        <v>635</v>
      </c>
    </row>
    <row r="25" ht="15.75" customHeight="1">
      <c r="A25" s="14">
        <v>21.0</v>
      </c>
      <c r="B25" s="6" t="s">
        <v>636</v>
      </c>
      <c r="C25" s="28" t="str">
        <f>IF(COUNTIF(E_Saldo!M19:M23,"BELUM LENGKAP")=0,"OK","PERIKSA")</f>
        <v>OK</v>
      </c>
      <c r="D25" s="6" t="s">
        <v>541</v>
      </c>
    </row>
    <row r="26" ht="15.75" customHeight="1">
      <c r="A26" s="14">
        <v>22.0</v>
      </c>
      <c r="B26" s="6" t="s">
        <v>637</v>
      </c>
      <c r="C26" s="28" t="str">
        <f>IF(MIN(E_Saldo!E5:E7)&gt;=0,"OK","PERIKSA")</f>
        <v>OK</v>
      </c>
      <c r="D26" s="6" t="s">
        <v>638</v>
      </c>
    </row>
    <row r="27" ht="15.75" customHeight="1">
      <c r="A27" s="14">
        <v>23.0</v>
      </c>
      <c r="B27" s="6" t="s">
        <v>639</v>
      </c>
      <c r="C27" s="28" t="str">
        <f>IF(E_Saldo!E10="","PERIKSA",IF(ABS(E_Saldo!E11)&lt;1,"OK","PERIKSA"))</f>
        <v>OK</v>
      </c>
      <c r="D27" s="6" t="s">
        <v>644</v>
      </c>
    </row>
    <row r="28" ht="15.75" customHeight="1">
      <c r="A28" s="14">
        <v>24.0</v>
      </c>
      <c r="B28" s="6" t="s">
        <v>645</v>
      </c>
      <c r="C28" s="28" t="str">
        <f>IF(AND(COUNTIF(Identitas!F36:F38,"Ya")=3,COUNTIF(Identitas!E36:E38,"Valid")=3,COUNTBLANK(Identitas!B36:B38)=0),"OK","PERIKSA")</f>
        <v>OK</v>
      </c>
      <c r="D28" s="6" t="s">
        <v>646</v>
      </c>
    </row>
    <row r="29" ht="15.75" customHeight="1">
      <c r="A29" s="14">
        <v>25.0</v>
      </c>
      <c r="B29" s="6" t="s">
        <v>647</v>
      </c>
      <c r="C29" s="28" t="str">
        <f>IF(Identitas!B28="Ya","OK","PERIKSA")</f>
        <v>OK</v>
      </c>
      <c r="D29" s="6" t="s">
        <v>648</v>
      </c>
    </row>
    <row r="30" ht="15.75" customHeight="1">
      <c r="A30" s="14">
        <v>26.0</v>
      </c>
      <c r="B30" s="6" t="s">
        <v>650</v>
      </c>
      <c r="C30" s="28" t="str">
        <f>IF(F_TopUp!C11="Ya","OK","PERIKSA")</f>
        <v>OK</v>
      </c>
      <c r="D30" s="6" t="s">
        <v>550</v>
      </c>
    </row>
    <row r="31" ht="15.75" customHeight="1"/>
    <row r="32" ht="15.75" customHeight="1">
      <c r="B32" s="40" t="s">
        <v>653</v>
      </c>
      <c r="C32" s="28">
        <f>COUNTIF(C5:C30,"PERIKSA")</f>
        <v>0</v>
      </c>
    </row>
    <row r="33" ht="15.75" customHeight="1">
      <c r="B33" s="40" t="s">
        <v>654</v>
      </c>
      <c r="C33" s="28" t="str">
        <f>IF(C32=0,"LENGKAP: DAPAT DIPROSES","PERLU PERBAIKAN")</f>
        <v>LENGKAP: DAPAT DIPROSES</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5:C30">
    <cfRule type="cellIs" dxfId="1" priority="1" operator="equal">
      <formula>"OK"</formula>
    </cfRule>
  </conditionalFormatting>
  <conditionalFormatting sqref="C5:C30">
    <cfRule type="cellIs" dxfId="0" priority="2" operator="equal">
      <formula>"PERIKSA"</formula>
    </cfRule>
  </conditionalFormatting>
  <conditionalFormatting sqref="C33">
    <cfRule type="cellIs" dxfId="1" priority="3" operator="equal">
      <formula>"LENGKAP: DAPAT DIPROSES"</formula>
    </cfRule>
  </conditionalFormatting>
  <conditionalFormatting sqref="C33">
    <cfRule type="cellIs" dxfId="0" priority="4" operator="equal">
      <formula>"PERLU PERBAIKAN"</formula>
    </cfRule>
  </conditionalFormatting>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4" width="14.0"/>
    <col customWidth="1" min="5" max="5" width="15.0"/>
    <col customWidth="1" min="6" max="10" width="14.0"/>
    <col customWidth="1" min="11" max="11" width="18.0"/>
    <col customWidth="1" min="12" max="12" width="15.0"/>
    <col customWidth="1" min="13" max="13" width="16.0"/>
    <col customWidth="1" min="14" max="14" width="24.0"/>
    <col customWidth="1" min="15" max="15" width="22.0"/>
    <col customWidth="1" min="16" max="16" width="20.0"/>
    <col customWidth="1" min="17" max="17" width="25.0"/>
    <col customWidth="1" min="18" max="19" width="14.0"/>
    <col customWidth="1" min="20" max="20" width="24.0"/>
    <col customWidth="1" min="21" max="21" width="19.0"/>
    <col customWidth="1" min="22" max="22" width="22.0"/>
    <col customWidth="1" min="23" max="23" width="31.0"/>
    <col customWidth="1" min="24" max="24" width="19.0"/>
    <col customWidth="1" min="25" max="25" width="24.0"/>
    <col customWidth="1" min="26" max="28" width="14.0"/>
    <col customWidth="1" min="29" max="29" width="16.0"/>
    <col customWidth="1" min="30" max="30" width="20.0"/>
    <col customWidth="1" min="31" max="31" width="17.0"/>
    <col customWidth="1" min="32" max="32" width="24.0"/>
    <col customWidth="1" min="33" max="33" width="19.0"/>
    <col customWidth="1" min="34" max="34" width="20.0"/>
    <col customWidth="1" min="35" max="35" width="30.0"/>
    <col customWidth="1" min="36" max="37" width="24.0"/>
    <col customWidth="1" min="38" max="38" width="19.0"/>
    <col customWidth="1" min="39" max="39" width="18.0"/>
    <col customWidth="1" min="40" max="40" width="25.0"/>
    <col customWidth="1" min="41" max="41" width="27.0"/>
    <col customWidth="1" min="42" max="42" width="22.0"/>
    <col customWidth="1" min="43" max="44" width="19.0"/>
    <col customWidth="1" min="45" max="45" width="25.0"/>
    <col customWidth="1" min="46" max="46" width="22.0"/>
    <col customWidth="1" min="47" max="47" width="19.0"/>
    <col customWidth="1" min="48" max="48" width="17.0"/>
    <col customWidth="1" min="49" max="49" width="15.0"/>
    <col customWidth="1" min="50" max="50" width="20.0"/>
    <col customWidth="1" min="51" max="51" width="21.0"/>
    <col customWidth="1" min="52" max="52" width="22.0"/>
    <col customWidth="1" min="53" max="53" width="24.0"/>
    <col customWidth="1" min="54" max="54" width="22.0"/>
    <col customWidth="1" min="55" max="55" width="24.0"/>
    <col customWidth="1" min="56" max="56" width="23.0"/>
    <col customWidth="1" min="57" max="57" width="18.0"/>
    <col customWidth="1" min="58" max="58" width="17.0"/>
    <col customWidth="1" min="59" max="59" width="25.0"/>
    <col customWidth="1" min="60" max="60" width="24.0"/>
    <col customWidth="1" min="61" max="61" width="20.0"/>
    <col customWidth="1" min="62" max="62" width="16.0"/>
    <col customWidth="1" min="63" max="63" width="17.0"/>
  </cols>
  <sheetData>
    <row r="1">
      <c r="A1" s="1" t="s">
        <v>558</v>
      </c>
    </row>
    <row r="2">
      <c r="A2" s="2" t="s">
        <v>559</v>
      </c>
    </row>
    <row r="4" ht="30.0" customHeight="1">
      <c r="A4" s="4" t="s">
        <v>561</v>
      </c>
      <c r="B4" s="4" t="s">
        <v>562</v>
      </c>
      <c r="C4" s="4" t="s">
        <v>563</v>
      </c>
      <c r="D4" s="4" t="s">
        <v>24</v>
      </c>
      <c r="E4" s="4" t="s">
        <v>564</v>
      </c>
      <c r="F4" s="4" t="s">
        <v>565</v>
      </c>
      <c r="G4" s="4" t="s">
        <v>156</v>
      </c>
      <c r="H4" s="4" t="s">
        <v>566</v>
      </c>
      <c r="I4" s="4" t="s">
        <v>567</v>
      </c>
      <c r="J4" s="4" t="s">
        <v>568</v>
      </c>
      <c r="K4" s="4" t="s">
        <v>569</v>
      </c>
      <c r="L4" s="4" t="s">
        <v>570</v>
      </c>
      <c r="M4" s="4" t="s">
        <v>571</v>
      </c>
      <c r="N4" s="4" t="s">
        <v>573</v>
      </c>
      <c r="O4" s="4" t="s">
        <v>574</v>
      </c>
      <c r="P4" s="4" t="s">
        <v>576</v>
      </c>
      <c r="Q4" s="4" t="s">
        <v>577</v>
      </c>
      <c r="R4" s="4" t="s">
        <v>578</v>
      </c>
      <c r="S4" s="4" t="s">
        <v>579</v>
      </c>
      <c r="T4" s="4" t="s">
        <v>581</v>
      </c>
      <c r="U4" s="4" t="s">
        <v>583</v>
      </c>
      <c r="V4" s="4" t="s">
        <v>585</v>
      </c>
      <c r="W4" s="4" t="s">
        <v>587</v>
      </c>
      <c r="X4" s="4" t="s">
        <v>588</v>
      </c>
      <c r="Y4" s="4" t="s">
        <v>589</v>
      </c>
      <c r="Z4" s="4" t="s">
        <v>590</v>
      </c>
      <c r="AA4" s="4" t="s">
        <v>591</v>
      </c>
      <c r="AB4" s="4" t="s">
        <v>592</v>
      </c>
      <c r="AC4" s="4" t="s">
        <v>593</v>
      </c>
      <c r="AD4" s="4" t="s">
        <v>594</v>
      </c>
      <c r="AE4" s="4" t="s">
        <v>595</v>
      </c>
      <c r="AF4" s="4" t="s">
        <v>596</v>
      </c>
      <c r="AG4" s="4" t="s">
        <v>597</v>
      </c>
      <c r="AH4" s="4" t="s">
        <v>598</v>
      </c>
      <c r="AI4" s="4" t="s">
        <v>599</v>
      </c>
      <c r="AJ4" s="4" t="s">
        <v>600</v>
      </c>
      <c r="AK4" s="4" t="s">
        <v>601</v>
      </c>
      <c r="AL4" s="4" t="s">
        <v>602</v>
      </c>
      <c r="AM4" s="4" t="s">
        <v>603</v>
      </c>
      <c r="AN4" s="4" t="s">
        <v>605</v>
      </c>
      <c r="AO4" s="4" t="s">
        <v>606</v>
      </c>
      <c r="AP4" s="4" t="s">
        <v>608</v>
      </c>
      <c r="AQ4" s="4" t="s">
        <v>609</v>
      </c>
      <c r="AR4" s="4" t="s">
        <v>610</v>
      </c>
      <c r="AS4" s="4" t="s">
        <v>611</v>
      </c>
      <c r="AT4" s="4" t="s">
        <v>612</v>
      </c>
      <c r="AU4" s="4" t="s">
        <v>613</v>
      </c>
      <c r="AV4" s="4" t="s">
        <v>614</v>
      </c>
      <c r="AW4" s="4" t="s">
        <v>615</v>
      </c>
      <c r="AX4" s="4" t="s">
        <v>617</v>
      </c>
      <c r="AY4" s="4" t="s">
        <v>618</v>
      </c>
      <c r="AZ4" s="4" t="s">
        <v>620</v>
      </c>
      <c r="BA4" s="4" t="s">
        <v>621</v>
      </c>
      <c r="BB4" s="4" t="s">
        <v>622</v>
      </c>
      <c r="BC4" s="4" t="s">
        <v>623</v>
      </c>
      <c r="BD4" s="4" t="s">
        <v>624</v>
      </c>
      <c r="BE4" s="4" t="s">
        <v>625</v>
      </c>
      <c r="BF4" s="4" t="s">
        <v>627</v>
      </c>
      <c r="BG4" s="4" t="s">
        <v>628</v>
      </c>
      <c r="BH4" s="4" t="s">
        <v>629</v>
      </c>
      <c r="BI4" s="4" t="s">
        <v>630</v>
      </c>
      <c r="BJ4" s="4" t="s">
        <v>631</v>
      </c>
      <c r="BK4" s="4" t="s">
        <v>633</v>
      </c>
    </row>
    <row r="5">
      <c r="A5" s="13" t="str">
        <f>Identitas!B6</f>
        <v>18.71.XX.XXXX</v>
      </c>
      <c r="B5" s="13" t="str">
        <f>Identitas!B7</f>
        <v>SPPG Contoh 1</v>
      </c>
      <c r="C5" s="13" t="str">
        <f>Identitas!B10</f>
        <v>Kota Contoh</v>
      </c>
      <c r="D5" s="13" t="str">
        <f>Identitas!B11</f>
        <v>Lampung</v>
      </c>
      <c r="E5" s="13" t="str">
        <f>Identitas!B12</f>
        <v>Yayasan Contoh</v>
      </c>
      <c r="F5" s="13" t="str">
        <f>Identitas!B13</f>
        <v>XXXXXXXXXXXX</v>
      </c>
      <c r="G5" s="26">
        <f>Identitas!B15</f>
        <v>46300</v>
      </c>
      <c r="H5" s="13" t="str">
        <f>Identitas!B18</f>
        <v>HPE</v>
      </c>
      <c r="I5" s="27">
        <f>Identitas!B19</f>
        <v>1</v>
      </c>
      <c r="J5" s="13" t="str">
        <f>Identitas!B20</f>
        <v>Ya</v>
      </c>
      <c r="K5" s="25">
        <f>Identitas!B21</f>
        <v>1.05</v>
      </c>
      <c r="L5" s="19">
        <f>A_PM!E16</f>
        <v>2370</v>
      </c>
      <c r="M5" s="19">
        <f>A_PM!C19</f>
        <v>2400</v>
      </c>
      <c r="N5" s="19">
        <f>A_PM!C20</f>
        <v>2370</v>
      </c>
      <c r="O5" s="19">
        <f>A_PM!C21</f>
        <v>3</v>
      </c>
      <c r="P5" s="19">
        <f>A_PM!C22</f>
        <v>3</v>
      </c>
      <c r="Q5" s="19">
        <f>A_PM!C23</f>
        <v>4</v>
      </c>
      <c r="R5" s="19">
        <f>A_PM!C24</f>
        <v>20</v>
      </c>
      <c r="S5" s="19">
        <f>A_PM!C26</f>
        <v>0</v>
      </c>
      <c r="T5" s="19">
        <f>A_PM!C30</f>
        <v>2070</v>
      </c>
      <c r="U5" s="19">
        <f>A_PM!C31</f>
        <v>263</v>
      </c>
      <c r="V5" s="19">
        <f>A_PM!C33</f>
        <v>37</v>
      </c>
      <c r="W5" s="19">
        <f>A_PM!C34</f>
        <v>10</v>
      </c>
      <c r="X5" s="19">
        <f>A_PM!C41</f>
        <v>0</v>
      </c>
      <c r="Y5" s="19">
        <f>A_PM!C50</f>
        <v>8</v>
      </c>
      <c r="Z5" s="19">
        <f>A_PM!C51</f>
        <v>8</v>
      </c>
      <c r="AA5" s="13" t="str">
        <f>TEXTJOIN(" | ",TRUE(),A_PM!M6:M15)</f>
        <v>https://cloud-sipgn.contoh/lpdh/bast/BAST-01.pdf | https://cloud-sipgn.contoh/lpdh/bast/BAST-02.pdf | https://cloud-sipgn.contoh/lpdh/bast/BAST-03.pdf | https://cloud-sipgn.contoh/lpdh/bast/BAST-04.pdf | https://cloud-sipgn.contoh/lpdh/bast/BAST-05.pdf | https://cloud-sipgn.contoh/lpdh/bast/BAST-06.pdf | https://cloud-sipgn.contoh/lpdh/bast/BAST-07.pdf | https://cloud-sipgn.contoh/lpdh/bast/BAST-08.pdf</v>
      </c>
      <c r="AB5" s="19">
        <f>A_PM!C47</f>
        <v>2339</v>
      </c>
      <c r="AC5" s="25">
        <f>A_PM!P16</f>
        <v>0.9843881857</v>
      </c>
      <c r="AD5" s="19">
        <f>B_BahanBaku!I46</f>
        <v>18885000</v>
      </c>
      <c r="AE5" s="19">
        <f>B_BahanBaku!I50</f>
        <v>7868.75</v>
      </c>
      <c r="AF5" s="19">
        <f>B_BahanBaku!I51</f>
        <v>9569.620253</v>
      </c>
      <c r="AG5" s="19">
        <f>C_Operasional!H22</f>
        <v>6790000</v>
      </c>
      <c r="AH5" s="19">
        <f>C_Operasional!H26</f>
        <v>2902.949979</v>
      </c>
      <c r="AI5" s="19">
        <f>C_Operasional!H27</f>
        <v>3150</v>
      </c>
      <c r="AJ5" s="19">
        <f>'C1_Relawan'!H66</f>
        <v>4230000</v>
      </c>
      <c r="AK5" s="27">
        <f>'C1_Relawan'!C66</f>
        <v>47</v>
      </c>
      <c r="AL5" s="19">
        <f>D_Insentif!C16</f>
        <v>4678000</v>
      </c>
      <c r="AM5" s="19">
        <f>D_Insentif!C21</f>
        <v>4678000</v>
      </c>
      <c r="AN5" s="13" t="str">
        <f>D_Insentif!C23</f>
        <v>BYR-INS-001</v>
      </c>
      <c r="AO5" s="46" t="str">
        <f>D_Insentif!C26</f>
        <v>https://cloud-sipgn.contoh/lpdh/insentif/BYR-INS-001.pdf</v>
      </c>
      <c r="AP5" s="19">
        <f>E_Saldo!H24</f>
        <v>32000000</v>
      </c>
      <c r="AQ5" s="13" t="str">
        <f>TEXTJOIN(" | ",TRUE(),E_Saldo!I19:I23)</f>
        <v>KW-TU-001</v>
      </c>
      <c r="AR5" s="19">
        <f>E_Saldo!E5</f>
        <v>251115000</v>
      </c>
      <c r="AS5" s="19">
        <f>E_Saldo!E6</f>
        <v>90210000</v>
      </c>
      <c r="AT5" s="19">
        <f>E_Saldo!E7</f>
        <v>25322000</v>
      </c>
      <c r="AU5" s="19">
        <f>E_Saldo!E8</f>
        <v>366647000</v>
      </c>
      <c r="AV5" s="19">
        <f>E_Saldo!E10</f>
        <v>366647000</v>
      </c>
      <c r="AW5" s="19">
        <f>E_Saldo!E11</f>
        <v>0</v>
      </c>
      <c r="AX5" s="19">
        <f>F_TopUp!B8</f>
        <v>30353000</v>
      </c>
      <c r="AY5" s="19">
        <f>F_TopUp!C8</f>
        <v>0</v>
      </c>
      <c r="AZ5" s="27" t="str">
        <f>I_RegisterBukti!C127</f>
        <v>#REF!</v>
      </c>
      <c r="BA5" s="27">
        <f>I_RegisterBukti!C128</f>
        <v>0</v>
      </c>
      <c r="BB5" s="27">
        <f>I_RegisterBukti!C129</f>
        <v>0</v>
      </c>
      <c r="BC5" s="13" t="str">
        <f>Identitas!B36</f>
        <v>Nama Pengawas Keuangan</v>
      </c>
      <c r="BD5" s="47" t="str">
        <f>Identitas!D36</f>
        <v>1871000000000001</v>
      </c>
      <c r="BE5" s="13" t="str">
        <f>Identitas!B37</f>
        <v>Nama Kepala SPPG</v>
      </c>
      <c r="BF5" s="47" t="str">
        <f>Identitas!D37</f>
        <v>199001012026011001</v>
      </c>
      <c r="BG5" s="13" t="str">
        <f>Identitas!B38</f>
        <v>Nama Perwakilan Yayasan</v>
      </c>
      <c r="BH5" s="47" t="str">
        <f>Identitas!D38</f>
        <v>1871000000000002</v>
      </c>
      <c r="BI5" s="13" t="str">
        <f>Identitas!B28</f>
        <v>Ya</v>
      </c>
      <c r="BJ5" s="27">
        <f>G_CekPPK!C32</f>
        <v>0</v>
      </c>
      <c r="BK5" s="13" t="str">
        <f>G_CekPPK!C33</f>
        <v>LENGKAP: DAPAT DIPROSES</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32.0"/>
    <col customWidth="1" min="3" max="3" width="18.0"/>
    <col customWidth="1" min="4" max="4" width="13.0"/>
    <col customWidth="1" min="5" max="5" width="15.0"/>
    <col customWidth="1" min="6" max="6" width="46.0"/>
    <col customWidth="1" min="7" max="7" width="13.0"/>
    <col customWidth="1" min="8" max="8" width="16.0"/>
    <col customWidth="1" min="9" max="26" width="8.71"/>
  </cols>
  <sheetData>
    <row r="1">
      <c r="A1" s="1" t="s">
        <v>667</v>
      </c>
    </row>
    <row r="2">
      <c r="A2" s="2" t="s">
        <v>668</v>
      </c>
    </row>
    <row r="4" ht="36.0" customHeight="1">
      <c r="A4" s="4" t="s">
        <v>669</v>
      </c>
      <c r="B4" s="4" t="s">
        <v>670</v>
      </c>
      <c r="C4" s="4" t="s">
        <v>671</v>
      </c>
      <c r="D4" s="4" t="s">
        <v>156</v>
      </c>
      <c r="E4" s="4" t="s">
        <v>672</v>
      </c>
      <c r="F4" s="4" t="s">
        <v>673</v>
      </c>
      <c r="G4" s="4" t="s">
        <v>674</v>
      </c>
      <c r="H4" s="4" t="s">
        <v>101</v>
      </c>
    </row>
    <row r="5">
      <c r="A5" s="6" t="s">
        <v>675</v>
      </c>
      <c r="B5" s="13" t="str">
        <f>IF(N(B_BahanBaku!D6)=0,IF(B_BahanBaku!D6="","",B_BahanBaku!B6),B_BahanBaku!B6)</f>
        <v>18.71.XX.XXXX-20261005-BB-001</v>
      </c>
      <c r="C5" s="13" t="str">
        <f>IF(B_BahanBaku!K6="","",B_BahanBaku!K6)</f>
        <v>NT-001</v>
      </c>
      <c r="D5" s="26">
        <f>IF(B_BahanBaku!C6="","",B_BahanBaku!C6)</f>
        <v>46299</v>
      </c>
      <c r="E5" s="19">
        <f>N(B_BahanBaku!I6)</f>
        <v>2520000</v>
      </c>
      <c r="F5" s="46" t="str">
        <f>IF(B_BahanBaku!L6="","",B_BahanBaku!L6)</f>
        <v>https://cloud-sipgn.contoh/lpdh/bb/NT-001.pdf</v>
      </c>
      <c r="G5" s="14" t="str">
        <f t="shared" ref="G5:G125" si="1">IF(C5="","",IF(COUNTIF($C$5:$C$130,C5)&gt;1,"DUPLIKAT","Unik"))</f>
        <v>#REF!</v>
      </c>
      <c r="H5" s="14" t="str">
        <f>IF(C5="","",IF(D5="","TANGGAL KOSONG",IF(AND(D5&gt;=Identitas!$B$32,D5&lt;=Identitas!$B$33),"Sesuai","DI LUAR PERIODE")))</f>
        <v>Sesuai</v>
      </c>
    </row>
    <row r="6">
      <c r="A6" s="6" t="s">
        <v>675</v>
      </c>
      <c r="B6" s="13" t="str">
        <f>IF(N(B_BahanBaku!D7)=0,IF(B_BahanBaku!D7="","",B_BahanBaku!B7),B_BahanBaku!B7)</f>
        <v>18.71.XX.XXXX-20261005-BB-002</v>
      </c>
      <c r="C6" s="13" t="str">
        <f>IF(B_BahanBaku!K7="","",B_BahanBaku!K7)</f>
        <v>NT-002</v>
      </c>
      <c r="D6" s="26">
        <f>IF(B_BahanBaku!C7="","",B_BahanBaku!C7)</f>
        <v>46299</v>
      </c>
      <c r="E6" s="19">
        <f>N(B_BahanBaku!I7)</f>
        <v>9120000</v>
      </c>
      <c r="F6" s="46" t="str">
        <f>IF(B_BahanBaku!L7="","",B_BahanBaku!L7)</f>
        <v>https://cloud-sipgn.contoh/lpdh/bb/NT-002.pdf</v>
      </c>
      <c r="G6" s="14" t="str">
        <f t="shared" si="1"/>
        <v>Unik</v>
      </c>
      <c r="H6" s="14" t="str">
        <f>IF(C6="","",IF(D6="","TANGGAL KOSONG",IF(AND(D6&gt;=Identitas!$B$32,D6&lt;=Identitas!$B$33),"Sesuai","DI LUAR PERIODE")))</f>
        <v>Sesuai</v>
      </c>
    </row>
    <row r="7">
      <c r="A7" s="6" t="s">
        <v>675</v>
      </c>
      <c r="B7" s="13" t="str">
        <f>IF(N(B_BahanBaku!D8)=0,IF(B_BahanBaku!D8="","",B_BahanBaku!B8),B_BahanBaku!B8)</f>
        <v>18.71.XX.XXXX-20261005-BB-003</v>
      </c>
      <c r="C7" s="13" t="str">
        <f>IF(B_BahanBaku!K8="","",B_BahanBaku!K8)</f>
        <v>NT-003</v>
      </c>
      <c r="D7" s="26">
        <f>IF(B_BahanBaku!C8="","",B_BahanBaku!C8)</f>
        <v>46299</v>
      </c>
      <c r="E7" s="19">
        <f>N(B_BahanBaku!I8)</f>
        <v>420000</v>
      </c>
      <c r="F7" s="46" t="str">
        <f>IF(B_BahanBaku!L8="","",B_BahanBaku!L8)</f>
        <v>https://cloud-sipgn.contoh/lpdh/bb/NT-003.pdf</v>
      </c>
      <c r="G7" s="14" t="str">
        <f t="shared" si="1"/>
        <v>Unik</v>
      </c>
      <c r="H7" s="14" t="str">
        <f>IF(C7="","",IF(D7="","TANGGAL KOSONG",IF(AND(D7&gt;=Identitas!$B$32,D7&lt;=Identitas!$B$33),"Sesuai","DI LUAR PERIODE")))</f>
        <v>Sesuai</v>
      </c>
    </row>
    <row r="8">
      <c r="A8" s="6" t="s">
        <v>675</v>
      </c>
      <c r="B8" s="13" t="str">
        <f>IF(N(B_BahanBaku!D9)=0,IF(B_BahanBaku!D9="","",B_BahanBaku!B9),B_BahanBaku!B9)</f>
        <v>18.71.XX.XXXX-20261005-BB-004</v>
      </c>
      <c r="C8" s="13" t="str">
        <f>IF(B_BahanBaku!K9="","",B_BahanBaku!K9)</f>
        <v>NT-004/1</v>
      </c>
      <c r="D8" s="26">
        <f>IF(B_BahanBaku!C9="","",B_BahanBaku!C9)</f>
        <v>46299</v>
      </c>
      <c r="E8" s="19">
        <f>N(B_BahanBaku!I9)</f>
        <v>960000</v>
      </c>
      <c r="F8" s="46" t="str">
        <f>IF(B_BahanBaku!L9="","",B_BahanBaku!L9)</f>
        <v>https://cloud-sipgn.contoh/lpdh/bb/NT-004-1.pdf</v>
      </c>
      <c r="G8" s="14" t="str">
        <f t="shared" si="1"/>
        <v>Unik</v>
      </c>
      <c r="H8" s="14" t="str">
        <f>IF(C8="","",IF(D8="","TANGGAL KOSONG",IF(AND(D8&gt;=Identitas!$B$32,D8&lt;=Identitas!$B$33),"Sesuai","DI LUAR PERIODE")))</f>
        <v>Sesuai</v>
      </c>
    </row>
    <row r="9">
      <c r="A9" s="6" t="s">
        <v>675</v>
      </c>
      <c r="B9" s="13" t="str">
        <f>IF(N(B_BahanBaku!D10)=0,IF(B_BahanBaku!D10="","",B_BahanBaku!B10),B_BahanBaku!B10)</f>
        <v>18.71.XX.XXXX-20261005-BB-005</v>
      </c>
      <c r="C9" s="13" t="str">
        <f>IF(B_BahanBaku!K10="","",B_BahanBaku!K10)</f>
        <v>NT-004/2</v>
      </c>
      <c r="D9" s="26">
        <f>IF(B_BahanBaku!C10="","",B_BahanBaku!C10)</f>
        <v>46299</v>
      </c>
      <c r="E9" s="19">
        <f>N(B_BahanBaku!I10)</f>
        <v>900000</v>
      </c>
      <c r="F9" s="46" t="str">
        <f>IF(B_BahanBaku!L10="","",B_BahanBaku!L10)</f>
        <v>https://cloud-sipgn.contoh/lpdh/bb/NT-004-2.pdf</v>
      </c>
      <c r="G9" s="14" t="str">
        <f t="shared" si="1"/>
        <v>Unik</v>
      </c>
      <c r="H9" s="14" t="str">
        <f>IF(C9="","",IF(D9="","TANGGAL KOSONG",IF(AND(D9&gt;=Identitas!$B$32,D9&lt;=Identitas!$B$33),"Sesuai","DI LUAR PERIODE")))</f>
        <v>Sesuai</v>
      </c>
    </row>
    <row r="10">
      <c r="A10" s="6" t="s">
        <v>675</v>
      </c>
      <c r="B10" s="13" t="str">
        <f>IF(N(B_BahanBaku!D11)=0,IF(B_BahanBaku!D11="","",B_BahanBaku!B11),B_BahanBaku!B11)</f>
        <v>18.71.XX.XXXX-20261005-BB-006</v>
      </c>
      <c r="C10" s="13" t="str">
        <f>IF(B_BahanBaku!K11="","",B_BahanBaku!K11)</f>
        <v>NT-005</v>
      </c>
      <c r="D10" s="26">
        <f>IF(B_BahanBaku!C11="","",B_BahanBaku!C11)</f>
        <v>46299</v>
      </c>
      <c r="E10" s="19">
        <f>N(B_BahanBaku!I11)</f>
        <v>3675000</v>
      </c>
      <c r="F10" s="46" t="str">
        <f>IF(B_BahanBaku!L11="","",B_BahanBaku!L11)</f>
        <v>https://cloud-sipgn.contoh/lpdh/bb/NT-005.pdf</v>
      </c>
      <c r="G10" s="14" t="str">
        <f t="shared" si="1"/>
        <v>Unik</v>
      </c>
      <c r="H10" s="14" t="str">
        <f>IF(C10="","",IF(D10="","TANGGAL KOSONG",IF(AND(D10&gt;=Identitas!$B$32,D10&lt;=Identitas!$B$33),"Sesuai","DI LUAR PERIODE")))</f>
        <v>Sesuai</v>
      </c>
    </row>
    <row r="11">
      <c r="A11" s="6" t="s">
        <v>675</v>
      </c>
      <c r="B11" s="13" t="str">
        <f>IF(N(B_BahanBaku!D12)=0,IF(B_BahanBaku!D12="","",B_BahanBaku!B12),B_BahanBaku!B12)</f>
        <v>18.71.XX.XXXX-20261005-BB-007</v>
      </c>
      <c r="C11" s="13" t="str">
        <f>IF(B_BahanBaku!K12="","",B_BahanBaku!K12)</f>
        <v>NT-006/1</v>
      </c>
      <c r="D11" s="26">
        <f>IF(B_BahanBaku!C12="","",B_BahanBaku!C12)</f>
        <v>46299</v>
      </c>
      <c r="E11" s="19">
        <f>N(B_BahanBaku!I12)</f>
        <v>540000</v>
      </c>
      <c r="F11" s="46" t="str">
        <f>IF(B_BahanBaku!L12="","",B_BahanBaku!L12)</f>
        <v>https://cloud-sipgn.contoh/lpdh/bb/NT-006-1.pdf</v>
      </c>
      <c r="G11" s="14" t="str">
        <f t="shared" si="1"/>
        <v>Unik</v>
      </c>
      <c r="H11" s="14" t="str">
        <f>IF(C11="","",IF(D11="","TANGGAL KOSONG",IF(AND(D11&gt;=Identitas!$B$32,D11&lt;=Identitas!$B$33),"Sesuai","DI LUAR PERIODE")))</f>
        <v>Sesuai</v>
      </c>
    </row>
    <row r="12">
      <c r="A12" s="6" t="s">
        <v>675</v>
      </c>
      <c r="B12" s="13" t="str">
        <f>IF(N(B_BahanBaku!D13)=0,IF(B_BahanBaku!D13="","",B_BahanBaku!B13),B_BahanBaku!B13)</f>
        <v>18.71.XX.XXXX-20261005-BB-008</v>
      </c>
      <c r="C12" s="13" t="str">
        <f>IF(B_BahanBaku!K13="","",B_BahanBaku!K13)</f>
        <v>NT-006/2</v>
      </c>
      <c r="D12" s="26">
        <f>IF(B_BahanBaku!C13="","",B_BahanBaku!C13)</f>
        <v>46299</v>
      </c>
      <c r="E12" s="19">
        <f>N(B_BahanBaku!I13)</f>
        <v>750000</v>
      </c>
      <c r="F12" s="46" t="str">
        <f>IF(B_BahanBaku!L13="","",B_BahanBaku!L13)</f>
        <v>https://cloud-sipgn.contoh/lpdh/bb/NT-006-2.pdf</v>
      </c>
      <c r="G12" s="14" t="str">
        <f t="shared" si="1"/>
        <v>Unik</v>
      </c>
      <c r="H12" s="14" t="str">
        <f>IF(C12="","",IF(D12="","TANGGAL KOSONG",IF(AND(D12&gt;=Identitas!$B$32,D12&lt;=Identitas!$B$33),"Sesuai","DI LUAR PERIODE")))</f>
        <v>Sesuai</v>
      </c>
    </row>
    <row r="13">
      <c r="A13" s="6" t="s">
        <v>675</v>
      </c>
      <c r="B13" s="13" t="str">
        <f>IF(N(B_BahanBaku!D14)=0,IF(B_BahanBaku!D14="","",B_BahanBaku!B14),B_BahanBaku!B14)</f>
        <v/>
      </c>
      <c r="C13" s="13" t="str">
        <f>IF(B_BahanBaku!K14="","",B_BahanBaku!K14)</f>
        <v/>
      </c>
      <c r="D13" s="26" t="str">
        <f>IF(B_BahanBaku!C14="","",B_BahanBaku!C14)</f>
        <v/>
      </c>
      <c r="E13" s="19">
        <f>N(B_BahanBaku!I14)</f>
        <v>0</v>
      </c>
      <c r="F13" s="13" t="str">
        <f>IF(B_BahanBaku!L14="","",B_BahanBaku!L14)</f>
        <v/>
      </c>
      <c r="G13" s="14" t="str">
        <f t="shared" si="1"/>
        <v/>
      </c>
      <c r="H13" s="14" t="str">
        <f>IF(C13="","",IF(D13="","TANGGAL KOSONG",IF(AND(D13&gt;=Identitas!$B$32,D13&lt;=Identitas!$B$33),"Sesuai","DI LUAR PERIODE")))</f>
        <v/>
      </c>
    </row>
    <row r="14">
      <c r="A14" s="6" t="s">
        <v>675</v>
      </c>
      <c r="B14" s="13" t="str">
        <f>IF(N(B_BahanBaku!D15)=0,IF(B_BahanBaku!D15="","",B_BahanBaku!B15),B_BahanBaku!B15)</f>
        <v/>
      </c>
      <c r="C14" s="13" t="str">
        <f>IF(B_BahanBaku!K15="","",B_BahanBaku!K15)</f>
        <v/>
      </c>
      <c r="D14" s="26" t="str">
        <f>IF(B_BahanBaku!C15="","",B_BahanBaku!C15)</f>
        <v/>
      </c>
      <c r="E14" s="19">
        <f>N(B_BahanBaku!I15)</f>
        <v>0</v>
      </c>
      <c r="F14" s="13" t="str">
        <f>IF(B_BahanBaku!L15="","",B_BahanBaku!L15)</f>
        <v/>
      </c>
      <c r="G14" s="14" t="str">
        <f t="shared" si="1"/>
        <v/>
      </c>
      <c r="H14" s="14" t="str">
        <f>IF(C14="","",IF(D14="","TANGGAL KOSONG",IF(AND(D14&gt;=Identitas!$B$32,D14&lt;=Identitas!$B$33),"Sesuai","DI LUAR PERIODE")))</f>
        <v/>
      </c>
    </row>
    <row r="15">
      <c r="A15" s="6" t="s">
        <v>675</v>
      </c>
      <c r="B15" s="13" t="str">
        <f>IF(N(B_BahanBaku!D16)=0,IF(B_BahanBaku!D16="","",B_BahanBaku!B16),B_BahanBaku!B16)</f>
        <v/>
      </c>
      <c r="C15" s="13" t="str">
        <f>IF(B_BahanBaku!K16="","",B_BahanBaku!K16)</f>
        <v/>
      </c>
      <c r="D15" s="26" t="str">
        <f>IF(B_BahanBaku!C16="","",B_BahanBaku!C16)</f>
        <v/>
      </c>
      <c r="E15" s="19">
        <f>N(B_BahanBaku!I16)</f>
        <v>0</v>
      </c>
      <c r="F15" s="13" t="str">
        <f>IF(B_BahanBaku!L16="","",B_BahanBaku!L16)</f>
        <v/>
      </c>
      <c r="G15" s="14" t="str">
        <f t="shared" si="1"/>
        <v/>
      </c>
      <c r="H15" s="14" t="str">
        <f>IF(C15="","",IF(D15="","TANGGAL KOSONG",IF(AND(D15&gt;=Identitas!$B$32,D15&lt;=Identitas!$B$33),"Sesuai","DI LUAR PERIODE")))</f>
        <v/>
      </c>
    </row>
    <row r="16">
      <c r="A16" s="6" t="s">
        <v>675</v>
      </c>
      <c r="B16" s="13" t="str">
        <f>IF(N(B_BahanBaku!D17)=0,IF(B_BahanBaku!D17="","",B_BahanBaku!B17),B_BahanBaku!B17)</f>
        <v/>
      </c>
      <c r="C16" s="13" t="str">
        <f>IF(B_BahanBaku!K17="","",B_BahanBaku!K17)</f>
        <v/>
      </c>
      <c r="D16" s="26" t="str">
        <f>IF(B_BahanBaku!C17="","",B_BahanBaku!C17)</f>
        <v/>
      </c>
      <c r="E16" s="19">
        <f>N(B_BahanBaku!I17)</f>
        <v>0</v>
      </c>
      <c r="F16" s="13" t="str">
        <f>IF(B_BahanBaku!L17="","",B_BahanBaku!L17)</f>
        <v/>
      </c>
      <c r="G16" s="14" t="str">
        <f t="shared" si="1"/>
        <v/>
      </c>
      <c r="H16" s="14" t="str">
        <f>IF(C16="","",IF(D16="","TANGGAL KOSONG",IF(AND(D16&gt;=Identitas!$B$32,D16&lt;=Identitas!$B$33),"Sesuai","DI LUAR PERIODE")))</f>
        <v/>
      </c>
    </row>
    <row r="17">
      <c r="A17" s="6" t="s">
        <v>675</v>
      </c>
      <c r="B17" s="13" t="str">
        <f>IF(N(B_BahanBaku!D18)=0,IF(B_BahanBaku!D18="","",B_BahanBaku!B18),B_BahanBaku!B18)</f>
        <v/>
      </c>
      <c r="C17" s="13" t="str">
        <f>IF(B_BahanBaku!K18="","",B_BahanBaku!K18)</f>
        <v/>
      </c>
      <c r="D17" s="26" t="str">
        <f>IF(B_BahanBaku!C18="","",B_BahanBaku!C18)</f>
        <v/>
      </c>
      <c r="E17" s="19">
        <f>N(B_BahanBaku!I18)</f>
        <v>0</v>
      </c>
      <c r="F17" s="13" t="str">
        <f>IF(B_BahanBaku!L18="","",B_BahanBaku!L18)</f>
        <v/>
      </c>
      <c r="G17" s="14" t="str">
        <f t="shared" si="1"/>
        <v/>
      </c>
      <c r="H17" s="14" t="str">
        <f>IF(C17="","",IF(D17="","TANGGAL KOSONG",IF(AND(D17&gt;=Identitas!$B$32,D17&lt;=Identitas!$B$33),"Sesuai","DI LUAR PERIODE")))</f>
        <v/>
      </c>
    </row>
    <row r="18">
      <c r="A18" s="6" t="s">
        <v>675</v>
      </c>
      <c r="B18" s="13" t="str">
        <f>IF(N(B_BahanBaku!D19)=0,IF(B_BahanBaku!D19="","",B_BahanBaku!B19),B_BahanBaku!B19)</f>
        <v/>
      </c>
      <c r="C18" s="13" t="str">
        <f>IF(B_BahanBaku!K19="","",B_BahanBaku!K19)</f>
        <v/>
      </c>
      <c r="D18" s="26" t="str">
        <f>IF(B_BahanBaku!C19="","",B_BahanBaku!C19)</f>
        <v/>
      </c>
      <c r="E18" s="19">
        <f>N(B_BahanBaku!I19)</f>
        <v>0</v>
      </c>
      <c r="F18" s="13" t="str">
        <f>IF(B_BahanBaku!L19="","",B_BahanBaku!L19)</f>
        <v/>
      </c>
      <c r="G18" s="14" t="str">
        <f t="shared" si="1"/>
        <v/>
      </c>
      <c r="H18" s="14" t="str">
        <f>IF(C18="","",IF(D18="","TANGGAL KOSONG",IF(AND(D18&gt;=Identitas!$B$32,D18&lt;=Identitas!$B$33),"Sesuai","DI LUAR PERIODE")))</f>
        <v/>
      </c>
    </row>
    <row r="19">
      <c r="A19" s="6" t="s">
        <v>675</v>
      </c>
      <c r="B19" s="13" t="str">
        <f>IF(N(B_BahanBaku!D20)=0,IF(B_BahanBaku!D20="","",B_BahanBaku!B20),B_BahanBaku!B20)</f>
        <v/>
      </c>
      <c r="C19" s="13" t="str">
        <f>IF(B_BahanBaku!K20="","",B_BahanBaku!K20)</f>
        <v/>
      </c>
      <c r="D19" s="26" t="str">
        <f>IF(B_BahanBaku!C20="","",B_BahanBaku!C20)</f>
        <v/>
      </c>
      <c r="E19" s="19">
        <f>N(B_BahanBaku!I20)</f>
        <v>0</v>
      </c>
      <c r="F19" s="13" t="str">
        <f>IF(B_BahanBaku!L20="","",B_BahanBaku!L20)</f>
        <v/>
      </c>
      <c r="G19" s="14" t="str">
        <f t="shared" si="1"/>
        <v/>
      </c>
      <c r="H19" s="14" t="str">
        <f>IF(C19="","",IF(D19="","TANGGAL KOSONG",IF(AND(D19&gt;=Identitas!$B$32,D19&lt;=Identitas!$B$33),"Sesuai","DI LUAR PERIODE")))</f>
        <v/>
      </c>
    </row>
    <row r="20">
      <c r="A20" s="6" t="s">
        <v>675</v>
      </c>
      <c r="B20" s="13" t="str">
        <f>IF(N(B_BahanBaku!D21)=0,IF(B_BahanBaku!D21="","",B_BahanBaku!B21),B_BahanBaku!B21)</f>
        <v/>
      </c>
      <c r="C20" s="13" t="str">
        <f>IF(B_BahanBaku!K21="","",B_BahanBaku!K21)</f>
        <v/>
      </c>
      <c r="D20" s="26" t="str">
        <f>IF(B_BahanBaku!C21="","",B_BahanBaku!C21)</f>
        <v/>
      </c>
      <c r="E20" s="19">
        <f>N(B_BahanBaku!I21)</f>
        <v>0</v>
      </c>
      <c r="F20" s="13" t="str">
        <f>IF(B_BahanBaku!L21="","",B_BahanBaku!L21)</f>
        <v/>
      </c>
      <c r="G20" s="14" t="str">
        <f t="shared" si="1"/>
        <v/>
      </c>
      <c r="H20" s="14" t="str">
        <f>IF(C20="","",IF(D20="","TANGGAL KOSONG",IF(AND(D20&gt;=Identitas!$B$32,D20&lt;=Identitas!$B$33),"Sesuai","DI LUAR PERIODE")))</f>
        <v/>
      </c>
    </row>
    <row r="21" ht="15.75" customHeight="1">
      <c r="A21" s="6" t="s">
        <v>675</v>
      </c>
      <c r="B21" s="13" t="str">
        <f>IF(N(B_BahanBaku!D22)=0,IF(B_BahanBaku!D22="","",B_BahanBaku!B22),B_BahanBaku!B22)</f>
        <v/>
      </c>
      <c r="C21" s="13" t="str">
        <f>IF(B_BahanBaku!K22="","",B_BahanBaku!K22)</f>
        <v/>
      </c>
      <c r="D21" s="26" t="str">
        <f>IF(B_BahanBaku!C22="","",B_BahanBaku!C22)</f>
        <v/>
      </c>
      <c r="E21" s="19">
        <f>N(B_BahanBaku!I22)</f>
        <v>0</v>
      </c>
      <c r="F21" s="13" t="str">
        <f>IF(B_BahanBaku!L22="","",B_BahanBaku!L22)</f>
        <v/>
      </c>
      <c r="G21" s="14" t="str">
        <f t="shared" si="1"/>
        <v/>
      </c>
      <c r="H21" s="14" t="str">
        <f>IF(C21="","",IF(D21="","TANGGAL KOSONG",IF(AND(D21&gt;=Identitas!$B$32,D21&lt;=Identitas!$B$33),"Sesuai","DI LUAR PERIODE")))</f>
        <v/>
      </c>
    </row>
    <row r="22" ht="15.75" customHeight="1">
      <c r="A22" s="6" t="s">
        <v>675</v>
      </c>
      <c r="B22" s="13" t="str">
        <f>IF(N(B_BahanBaku!D23)=0,IF(B_BahanBaku!D23="","",B_BahanBaku!B23),B_BahanBaku!B23)</f>
        <v/>
      </c>
      <c r="C22" s="13" t="str">
        <f>IF(B_BahanBaku!K23="","",B_BahanBaku!K23)</f>
        <v/>
      </c>
      <c r="D22" s="26" t="str">
        <f>IF(B_BahanBaku!C23="","",B_BahanBaku!C23)</f>
        <v/>
      </c>
      <c r="E22" s="19">
        <f>N(B_BahanBaku!I23)</f>
        <v>0</v>
      </c>
      <c r="F22" s="13" t="str">
        <f>IF(B_BahanBaku!L23="","",B_BahanBaku!L23)</f>
        <v/>
      </c>
      <c r="G22" s="14" t="str">
        <f t="shared" si="1"/>
        <v/>
      </c>
      <c r="H22" s="14" t="str">
        <f>IF(C22="","",IF(D22="","TANGGAL KOSONG",IF(AND(D22&gt;=Identitas!$B$32,D22&lt;=Identitas!$B$33),"Sesuai","DI LUAR PERIODE")))</f>
        <v/>
      </c>
    </row>
    <row r="23" ht="15.75" customHeight="1">
      <c r="A23" s="6" t="s">
        <v>675</v>
      </c>
      <c r="B23" s="13" t="str">
        <f>IF(N(B_BahanBaku!D24)=0,IF(B_BahanBaku!D24="","",B_BahanBaku!B24),B_BahanBaku!B24)</f>
        <v/>
      </c>
      <c r="C23" s="13" t="str">
        <f>IF(B_BahanBaku!K24="","",B_BahanBaku!K24)</f>
        <v/>
      </c>
      <c r="D23" s="26" t="str">
        <f>IF(B_BahanBaku!C24="","",B_BahanBaku!C24)</f>
        <v/>
      </c>
      <c r="E23" s="19">
        <f>N(B_BahanBaku!I24)</f>
        <v>0</v>
      </c>
      <c r="F23" s="13" t="str">
        <f>IF(B_BahanBaku!L24="","",B_BahanBaku!L24)</f>
        <v/>
      </c>
      <c r="G23" s="14" t="str">
        <f t="shared" si="1"/>
        <v/>
      </c>
      <c r="H23" s="14" t="str">
        <f>IF(C23="","",IF(D23="","TANGGAL KOSONG",IF(AND(D23&gt;=Identitas!$B$32,D23&lt;=Identitas!$B$33),"Sesuai","DI LUAR PERIODE")))</f>
        <v/>
      </c>
    </row>
    <row r="24" ht="15.75" customHeight="1">
      <c r="A24" s="6" t="s">
        <v>675</v>
      </c>
      <c r="B24" s="13" t="str">
        <f>IF(N(B_BahanBaku!D25)=0,IF(B_BahanBaku!D25="","",B_BahanBaku!B25),B_BahanBaku!B25)</f>
        <v/>
      </c>
      <c r="C24" s="13" t="str">
        <f>IF(B_BahanBaku!K25="","",B_BahanBaku!K25)</f>
        <v/>
      </c>
      <c r="D24" s="26" t="str">
        <f>IF(B_BahanBaku!C25="","",B_BahanBaku!C25)</f>
        <v/>
      </c>
      <c r="E24" s="19">
        <f>N(B_BahanBaku!I25)</f>
        <v>0</v>
      </c>
      <c r="F24" s="13" t="str">
        <f>IF(B_BahanBaku!L25="","",B_BahanBaku!L25)</f>
        <v/>
      </c>
      <c r="G24" s="14" t="str">
        <f t="shared" si="1"/>
        <v/>
      </c>
      <c r="H24" s="14" t="str">
        <f>IF(C24="","",IF(D24="","TANGGAL KOSONG",IF(AND(D24&gt;=Identitas!$B$32,D24&lt;=Identitas!$B$33),"Sesuai","DI LUAR PERIODE")))</f>
        <v/>
      </c>
    </row>
    <row r="25" ht="15.75" customHeight="1">
      <c r="A25" s="6" t="s">
        <v>675</v>
      </c>
      <c r="B25" s="13" t="str">
        <f>IF(N(B_BahanBaku!D26)=0,IF(B_BahanBaku!D26="","",B_BahanBaku!B26),B_BahanBaku!B26)</f>
        <v/>
      </c>
      <c r="C25" s="13" t="str">
        <f>IF(B_BahanBaku!K26="","",B_BahanBaku!K26)</f>
        <v/>
      </c>
      <c r="D25" s="26" t="str">
        <f>IF(B_BahanBaku!C26="","",B_BahanBaku!C26)</f>
        <v/>
      </c>
      <c r="E25" s="19">
        <f>N(B_BahanBaku!I26)</f>
        <v>0</v>
      </c>
      <c r="F25" s="13" t="str">
        <f>IF(B_BahanBaku!L26="","",B_BahanBaku!L26)</f>
        <v/>
      </c>
      <c r="G25" s="14" t="str">
        <f t="shared" si="1"/>
        <v/>
      </c>
      <c r="H25" s="14" t="str">
        <f>IF(C25="","",IF(D25="","TANGGAL KOSONG",IF(AND(D25&gt;=Identitas!$B$32,D25&lt;=Identitas!$B$33),"Sesuai","DI LUAR PERIODE")))</f>
        <v/>
      </c>
    </row>
    <row r="26" ht="15.75" customHeight="1">
      <c r="A26" s="6" t="s">
        <v>675</v>
      </c>
      <c r="B26" s="13" t="str">
        <f>IF(N(B_BahanBaku!D27)=0,IF(B_BahanBaku!D27="","",B_BahanBaku!B27),B_BahanBaku!B27)</f>
        <v/>
      </c>
      <c r="C26" s="13" t="str">
        <f>IF(B_BahanBaku!K27="","",B_BahanBaku!K27)</f>
        <v/>
      </c>
      <c r="D26" s="26" t="str">
        <f>IF(B_BahanBaku!C27="","",B_BahanBaku!C27)</f>
        <v/>
      </c>
      <c r="E26" s="19">
        <f>N(B_BahanBaku!I27)</f>
        <v>0</v>
      </c>
      <c r="F26" s="13" t="str">
        <f>IF(B_BahanBaku!L27="","",B_BahanBaku!L27)</f>
        <v/>
      </c>
      <c r="G26" s="14" t="str">
        <f t="shared" si="1"/>
        <v/>
      </c>
      <c r="H26" s="14" t="str">
        <f>IF(C26="","",IF(D26="","TANGGAL KOSONG",IF(AND(D26&gt;=Identitas!$B$32,D26&lt;=Identitas!$B$33),"Sesuai","DI LUAR PERIODE")))</f>
        <v/>
      </c>
    </row>
    <row r="27" ht="15.75" customHeight="1">
      <c r="A27" s="6" t="s">
        <v>675</v>
      </c>
      <c r="B27" s="13" t="str">
        <f>IF(N(B_BahanBaku!D28)=0,IF(B_BahanBaku!D28="","",B_BahanBaku!B28),B_BahanBaku!B28)</f>
        <v/>
      </c>
      <c r="C27" s="13" t="str">
        <f>IF(B_BahanBaku!K28="","",B_BahanBaku!K28)</f>
        <v/>
      </c>
      <c r="D27" s="26" t="str">
        <f>IF(B_BahanBaku!C28="","",B_BahanBaku!C28)</f>
        <v/>
      </c>
      <c r="E27" s="19">
        <f>N(B_BahanBaku!I28)</f>
        <v>0</v>
      </c>
      <c r="F27" s="13" t="str">
        <f>IF(B_BahanBaku!L28="","",B_BahanBaku!L28)</f>
        <v/>
      </c>
      <c r="G27" s="14" t="str">
        <f t="shared" si="1"/>
        <v/>
      </c>
      <c r="H27" s="14" t="str">
        <f>IF(C27="","",IF(D27="","TANGGAL KOSONG",IF(AND(D27&gt;=Identitas!$B$32,D27&lt;=Identitas!$B$33),"Sesuai","DI LUAR PERIODE")))</f>
        <v/>
      </c>
    </row>
    <row r="28" ht="15.75" customHeight="1">
      <c r="A28" s="6" t="s">
        <v>675</v>
      </c>
      <c r="B28" s="13" t="str">
        <f>IF(N(B_BahanBaku!D29)=0,IF(B_BahanBaku!D29="","",B_BahanBaku!B29),B_BahanBaku!B29)</f>
        <v/>
      </c>
      <c r="C28" s="13" t="str">
        <f>IF(B_BahanBaku!K29="","",B_BahanBaku!K29)</f>
        <v/>
      </c>
      <c r="D28" s="26" t="str">
        <f>IF(B_BahanBaku!C29="","",B_BahanBaku!C29)</f>
        <v/>
      </c>
      <c r="E28" s="19">
        <f>N(B_BahanBaku!I29)</f>
        <v>0</v>
      </c>
      <c r="F28" s="13" t="str">
        <f>IF(B_BahanBaku!L29="","",B_BahanBaku!L29)</f>
        <v/>
      </c>
      <c r="G28" s="14" t="str">
        <f t="shared" si="1"/>
        <v/>
      </c>
      <c r="H28" s="14" t="str">
        <f>IF(C28="","",IF(D28="","TANGGAL KOSONG",IF(AND(D28&gt;=Identitas!$B$32,D28&lt;=Identitas!$B$33),"Sesuai","DI LUAR PERIODE")))</f>
        <v/>
      </c>
    </row>
    <row r="29" ht="15.75" customHeight="1">
      <c r="A29" s="6" t="s">
        <v>675</v>
      </c>
      <c r="B29" s="13" t="str">
        <f>IF(N(B_BahanBaku!D30)=0,IF(B_BahanBaku!D30="","",B_BahanBaku!B30),B_BahanBaku!B30)</f>
        <v/>
      </c>
      <c r="C29" s="13" t="str">
        <f>IF(B_BahanBaku!K30="","",B_BahanBaku!K30)</f>
        <v/>
      </c>
      <c r="D29" s="26" t="str">
        <f>IF(B_BahanBaku!C30="","",B_BahanBaku!C30)</f>
        <v/>
      </c>
      <c r="E29" s="19">
        <f>N(B_BahanBaku!I30)</f>
        <v>0</v>
      </c>
      <c r="F29" s="13" t="str">
        <f>IF(B_BahanBaku!L30="","",B_BahanBaku!L30)</f>
        <v/>
      </c>
      <c r="G29" s="14" t="str">
        <f t="shared" si="1"/>
        <v/>
      </c>
      <c r="H29" s="14" t="str">
        <f>IF(C29="","",IF(D29="","TANGGAL KOSONG",IF(AND(D29&gt;=Identitas!$B$32,D29&lt;=Identitas!$B$33),"Sesuai","DI LUAR PERIODE")))</f>
        <v/>
      </c>
    </row>
    <row r="30" ht="15.75" customHeight="1">
      <c r="A30" s="6" t="s">
        <v>675</v>
      </c>
      <c r="B30" s="13" t="str">
        <f>IF(N(B_BahanBaku!D31)=0,IF(B_BahanBaku!D31="","",B_BahanBaku!B31),B_BahanBaku!B31)</f>
        <v/>
      </c>
      <c r="C30" s="13" t="str">
        <f>IF(B_BahanBaku!K31="","",B_BahanBaku!K31)</f>
        <v/>
      </c>
      <c r="D30" s="26" t="str">
        <f>IF(B_BahanBaku!C31="","",B_BahanBaku!C31)</f>
        <v/>
      </c>
      <c r="E30" s="19">
        <f>N(B_BahanBaku!I31)</f>
        <v>0</v>
      </c>
      <c r="F30" s="13" t="str">
        <f>IF(B_BahanBaku!L31="","",B_BahanBaku!L31)</f>
        <v/>
      </c>
      <c r="G30" s="14" t="str">
        <f t="shared" si="1"/>
        <v/>
      </c>
      <c r="H30" s="14" t="str">
        <f>IF(C30="","",IF(D30="","TANGGAL KOSONG",IF(AND(D30&gt;=Identitas!$B$32,D30&lt;=Identitas!$B$33),"Sesuai","DI LUAR PERIODE")))</f>
        <v/>
      </c>
    </row>
    <row r="31" ht="15.75" customHeight="1">
      <c r="A31" s="6" t="s">
        <v>675</v>
      </c>
      <c r="B31" s="13" t="str">
        <f>IF(N(B_BahanBaku!D32)=0,IF(B_BahanBaku!D32="","",B_BahanBaku!B32),B_BahanBaku!B32)</f>
        <v/>
      </c>
      <c r="C31" s="13" t="str">
        <f>IF(B_BahanBaku!K32="","",B_BahanBaku!K32)</f>
        <v/>
      </c>
      <c r="D31" s="26" t="str">
        <f>IF(B_BahanBaku!C32="","",B_BahanBaku!C32)</f>
        <v/>
      </c>
      <c r="E31" s="19">
        <f>N(B_BahanBaku!I32)</f>
        <v>0</v>
      </c>
      <c r="F31" s="13" t="str">
        <f>IF(B_BahanBaku!L32="","",B_BahanBaku!L32)</f>
        <v/>
      </c>
      <c r="G31" s="14" t="str">
        <f t="shared" si="1"/>
        <v/>
      </c>
      <c r="H31" s="14" t="str">
        <f>IF(C31="","",IF(D31="","TANGGAL KOSONG",IF(AND(D31&gt;=Identitas!$B$32,D31&lt;=Identitas!$B$33),"Sesuai","DI LUAR PERIODE")))</f>
        <v/>
      </c>
    </row>
    <row r="32" ht="15.75" customHeight="1">
      <c r="A32" s="6" t="s">
        <v>675</v>
      </c>
      <c r="B32" s="13" t="str">
        <f>IF(N(B_BahanBaku!D33)=0,IF(B_BahanBaku!D33="","",B_BahanBaku!B33),B_BahanBaku!B33)</f>
        <v/>
      </c>
      <c r="C32" s="13" t="str">
        <f>IF(B_BahanBaku!K33="","",B_BahanBaku!K33)</f>
        <v/>
      </c>
      <c r="D32" s="26" t="str">
        <f>IF(B_BahanBaku!C33="","",B_BahanBaku!C33)</f>
        <v/>
      </c>
      <c r="E32" s="19">
        <f>N(B_BahanBaku!I33)</f>
        <v>0</v>
      </c>
      <c r="F32" s="13" t="str">
        <f>IF(B_BahanBaku!L33="","",B_BahanBaku!L33)</f>
        <v/>
      </c>
      <c r="G32" s="14" t="str">
        <f t="shared" si="1"/>
        <v/>
      </c>
      <c r="H32" s="14" t="str">
        <f>IF(C32="","",IF(D32="","TANGGAL KOSONG",IF(AND(D32&gt;=Identitas!$B$32,D32&lt;=Identitas!$B$33),"Sesuai","DI LUAR PERIODE")))</f>
        <v/>
      </c>
    </row>
    <row r="33" ht="15.75" customHeight="1">
      <c r="A33" s="6" t="s">
        <v>675</v>
      </c>
      <c r="B33" s="13" t="str">
        <f>IF(N(B_BahanBaku!D34)=0,IF(B_BahanBaku!D34="","",B_BahanBaku!B34),B_BahanBaku!B34)</f>
        <v/>
      </c>
      <c r="C33" s="13" t="str">
        <f>IF(B_BahanBaku!K34="","",B_BahanBaku!K34)</f>
        <v/>
      </c>
      <c r="D33" s="26" t="str">
        <f>IF(B_BahanBaku!C34="","",B_BahanBaku!C34)</f>
        <v/>
      </c>
      <c r="E33" s="19">
        <f>N(B_BahanBaku!I34)</f>
        <v>0</v>
      </c>
      <c r="F33" s="13" t="str">
        <f>IF(B_BahanBaku!L34="","",B_BahanBaku!L34)</f>
        <v/>
      </c>
      <c r="G33" s="14" t="str">
        <f t="shared" si="1"/>
        <v/>
      </c>
      <c r="H33" s="14" t="str">
        <f>IF(C33="","",IF(D33="","TANGGAL KOSONG",IF(AND(D33&gt;=Identitas!$B$32,D33&lt;=Identitas!$B$33),"Sesuai","DI LUAR PERIODE")))</f>
        <v/>
      </c>
    </row>
    <row r="34" ht="15.75" customHeight="1">
      <c r="A34" s="6" t="s">
        <v>675</v>
      </c>
      <c r="B34" s="13" t="str">
        <f>IF(N(B_BahanBaku!D35)=0,IF(B_BahanBaku!D35="","",B_BahanBaku!B35),B_BahanBaku!B35)</f>
        <v/>
      </c>
      <c r="C34" s="13" t="str">
        <f>IF(B_BahanBaku!K35="","",B_BahanBaku!K35)</f>
        <v/>
      </c>
      <c r="D34" s="26" t="str">
        <f>IF(B_BahanBaku!C35="","",B_BahanBaku!C35)</f>
        <v/>
      </c>
      <c r="E34" s="19">
        <f>N(B_BahanBaku!I35)</f>
        <v>0</v>
      </c>
      <c r="F34" s="13" t="str">
        <f>IF(B_BahanBaku!L35="","",B_BahanBaku!L35)</f>
        <v/>
      </c>
      <c r="G34" s="14" t="str">
        <f t="shared" si="1"/>
        <v/>
      </c>
      <c r="H34" s="14" t="str">
        <f>IF(C34="","",IF(D34="","TANGGAL KOSONG",IF(AND(D34&gt;=Identitas!$B$32,D34&lt;=Identitas!$B$33),"Sesuai","DI LUAR PERIODE")))</f>
        <v/>
      </c>
    </row>
    <row r="35" ht="15.75" customHeight="1">
      <c r="A35" s="6" t="s">
        <v>675</v>
      </c>
      <c r="B35" s="13" t="str">
        <f>IF(N(B_BahanBaku!D36)=0,IF(B_BahanBaku!D36="","",B_BahanBaku!B36),B_BahanBaku!B36)</f>
        <v/>
      </c>
      <c r="C35" s="13" t="str">
        <f>IF(B_BahanBaku!K36="","",B_BahanBaku!K36)</f>
        <v/>
      </c>
      <c r="D35" s="26" t="str">
        <f>IF(B_BahanBaku!C36="","",B_BahanBaku!C36)</f>
        <v/>
      </c>
      <c r="E35" s="19">
        <f>N(B_BahanBaku!I36)</f>
        <v>0</v>
      </c>
      <c r="F35" s="13" t="str">
        <f>IF(B_BahanBaku!L36="","",B_BahanBaku!L36)</f>
        <v/>
      </c>
      <c r="G35" s="14" t="str">
        <f t="shared" si="1"/>
        <v/>
      </c>
      <c r="H35" s="14" t="str">
        <f>IF(C35="","",IF(D35="","TANGGAL KOSONG",IF(AND(D35&gt;=Identitas!$B$32,D35&lt;=Identitas!$B$33),"Sesuai","DI LUAR PERIODE")))</f>
        <v/>
      </c>
    </row>
    <row r="36" ht="15.75" customHeight="1">
      <c r="A36" s="6" t="s">
        <v>675</v>
      </c>
      <c r="B36" s="13" t="str">
        <f>IF(N(B_BahanBaku!D37)=0,IF(B_BahanBaku!D37="","",B_BahanBaku!B37),B_BahanBaku!B37)</f>
        <v/>
      </c>
      <c r="C36" s="13" t="str">
        <f>IF(B_BahanBaku!K37="","",B_BahanBaku!K37)</f>
        <v/>
      </c>
      <c r="D36" s="26" t="str">
        <f>IF(B_BahanBaku!C37="","",B_BahanBaku!C37)</f>
        <v/>
      </c>
      <c r="E36" s="19">
        <f>N(B_BahanBaku!I37)</f>
        <v>0</v>
      </c>
      <c r="F36" s="13" t="str">
        <f>IF(B_BahanBaku!L37="","",B_BahanBaku!L37)</f>
        <v/>
      </c>
      <c r="G36" s="14" t="str">
        <f t="shared" si="1"/>
        <v/>
      </c>
      <c r="H36" s="14" t="str">
        <f>IF(C36="","",IF(D36="","TANGGAL KOSONG",IF(AND(D36&gt;=Identitas!$B$32,D36&lt;=Identitas!$B$33),"Sesuai","DI LUAR PERIODE")))</f>
        <v/>
      </c>
    </row>
    <row r="37" ht="15.75" customHeight="1">
      <c r="A37" s="6" t="s">
        <v>675</v>
      </c>
      <c r="B37" s="13" t="str">
        <f>IF(N(B_BahanBaku!D38)=0,IF(B_BahanBaku!D38="","",B_BahanBaku!B38),B_BahanBaku!B38)</f>
        <v/>
      </c>
      <c r="C37" s="13" t="str">
        <f>IF(B_BahanBaku!K38="","",B_BahanBaku!K38)</f>
        <v/>
      </c>
      <c r="D37" s="26" t="str">
        <f>IF(B_BahanBaku!C38="","",B_BahanBaku!C38)</f>
        <v/>
      </c>
      <c r="E37" s="19">
        <f>N(B_BahanBaku!I38)</f>
        <v>0</v>
      </c>
      <c r="F37" s="13" t="str">
        <f>IF(B_BahanBaku!L38="","",B_BahanBaku!L38)</f>
        <v/>
      </c>
      <c r="G37" s="14" t="str">
        <f t="shared" si="1"/>
        <v/>
      </c>
      <c r="H37" s="14" t="str">
        <f>IF(C37="","",IF(D37="","TANGGAL KOSONG",IF(AND(D37&gt;=Identitas!$B$32,D37&lt;=Identitas!$B$33),"Sesuai","DI LUAR PERIODE")))</f>
        <v/>
      </c>
    </row>
    <row r="38" ht="15.75" customHeight="1">
      <c r="A38" s="6" t="s">
        <v>675</v>
      </c>
      <c r="B38" s="13" t="str">
        <f>IF(N(B_BahanBaku!D39)=0,IF(B_BahanBaku!D39="","",B_BahanBaku!B39),B_BahanBaku!B39)</f>
        <v/>
      </c>
      <c r="C38" s="13" t="str">
        <f>IF(B_BahanBaku!K39="","",B_BahanBaku!K39)</f>
        <v/>
      </c>
      <c r="D38" s="26" t="str">
        <f>IF(B_BahanBaku!C39="","",B_BahanBaku!C39)</f>
        <v/>
      </c>
      <c r="E38" s="19">
        <f>N(B_BahanBaku!I39)</f>
        <v>0</v>
      </c>
      <c r="F38" s="13" t="str">
        <f>IF(B_BahanBaku!L39="","",B_BahanBaku!L39)</f>
        <v/>
      </c>
      <c r="G38" s="14" t="str">
        <f t="shared" si="1"/>
        <v/>
      </c>
      <c r="H38" s="14" t="str">
        <f>IF(C38="","",IF(D38="","TANGGAL KOSONG",IF(AND(D38&gt;=Identitas!$B$32,D38&lt;=Identitas!$B$33),"Sesuai","DI LUAR PERIODE")))</f>
        <v/>
      </c>
    </row>
    <row r="39" ht="15.75" customHeight="1">
      <c r="A39" s="6" t="s">
        <v>675</v>
      </c>
      <c r="B39" s="13" t="str">
        <f>IF(N(B_BahanBaku!D40)=0,IF(B_BahanBaku!D40="","",B_BahanBaku!B40),B_BahanBaku!B40)</f>
        <v/>
      </c>
      <c r="C39" s="13" t="str">
        <f>IF(B_BahanBaku!K40="","",B_BahanBaku!K40)</f>
        <v/>
      </c>
      <c r="D39" s="26" t="str">
        <f>IF(B_BahanBaku!C40="","",B_BahanBaku!C40)</f>
        <v/>
      </c>
      <c r="E39" s="19">
        <f>N(B_BahanBaku!I40)</f>
        <v>0</v>
      </c>
      <c r="F39" s="13" t="str">
        <f>IF(B_BahanBaku!L40="","",B_BahanBaku!L40)</f>
        <v/>
      </c>
      <c r="G39" s="14" t="str">
        <f t="shared" si="1"/>
        <v/>
      </c>
      <c r="H39" s="14" t="str">
        <f>IF(C39="","",IF(D39="","TANGGAL KOSONG",IF(AND(D39&gt;=Identitas!$B$32,D39&lt;=Identitas!$B$33),"Sesuai","DI LUAR PERIODE")))</f>
        <v/>
      </c>
    </row>
    <row r="40" ht="15.75" customHeight="1">
      <c r="A40" s="6" t="s">
        <v>675</v>
      </c>
      <c r="B40" s="13" t="str">
        <f>IF(N(B_BahanBaku!D41)=0,IF(B_BahanBaku!D41="","",B_BahanBaku!B41),B_BahanBaku!B41)</f>
        <v/>
      </c>
      <c r="C40" s="13" t="str">
        <f>IF(B_BahanBaku!K41="","",B_BahanBaku!K41)</f>
        <v/>
      </c>
      <c r="D40" s="26" t="str">
        <f>IF(B_BahanBaku!C41="","",B_BahanBaku!C41)</f>
        <v/>
      </c>
      <c r="E40" s="19">
        <f>N(B_BahanBaku!I41)</f>
        <v>0</v>
      </c>
      <c r="F40" s="13" t="str">
        <f>IF(B_BahanBaku!L41="","",B_BahanBaku!L41)</f>
        <v/>
      </c>
      <c r="G40" s="14" t="str">
        <f t="shared" si="1"/>
        <v/>
      </c>
      <c r="H40" s="14" t="str">
        <f>IF(C40="","",IF(D40="","TANGGAL KOSONG",IF(AND(D40&gt;=Identitas!$B$32,D40&lt;=Identitas!$B$33),"Sesuai","DI LUAR PERIODE")))</f>
        <v/>
      </c>
    </row>
    <row r="41" ht="15.75" customHeight="1">
      <c r="A41" s="6" t="s">
        <v>675</v>
      </c>
      <c r="B41" s="13" t="str">
        <f>IF(N(B_BahanBaku!D42)=0,IF(B_BahanBaku!D42="","",B_BahanBaku!B42),B_BahanBaku!B42)</f>
        <v/>
      </c>
      <c r="C41" s="13" t="str">
        <f>IF(B_BahanBaku!K42="","",B_BahanBaku!K42)</f>
        <v/>
      </c>
      <c r="D41" s="26" t="str">
        <f>IF(B_BahanBaku!C42="","",B_BahanBaku!C42)</f>
        <v/>
      </c>
      <c r="E41" s="19">
        <f>N(B_BahanBaku!I42)</f>
        <v>0</v>
      </c>
      <c r="F41" s="13" t="str">
        <f>IF(B_BahanBaku!L42="","",B_BahanBaku!L42)</f>
        <v/>
      </c>
      <c r="G41" s="14" t="str">
        <f t="shared" si="1"/>
        <v/>
      </c>
      <c r="H41" s="14" t="str">
        <f>IF(C41="","",IF(D41="","TANGGAL KOSONG",IF(AND(D41&gt;=Identitas!$B$32,D41&lt;=Identitas!$B$33),"Sesuai","DI LUAR PERIODE")))</f>
        <v/>
      </c>
    </row>
    <row r="42" ht="15.75" customHeight="1">
      <c r="A42" s="6" t="s">
        <v>675</v>
      </c>
      <c r="B42" s="13" t="str">
        <f>IF(N(B_BahanBaku!D43)=0,IF(B_BahanBaku!D43="","",B_BahanBaku!B43),B_BahanBaku!B43)</f>
        <v/>
      </c>
      <c r="C42" s="13" t="str">
        <f>IF(B_BahanBaku!K43="","",B_BahanBaku!K43)</f>
        <v/>
      </c>
      <c r="D42" s="26" t="str">
        <f>IF(B_BahanBaku!C43="","",B_BahanBaku!C43)</f>
        <v/>
      </c>
      <c r="E42" s="19">
        <f>N(B_BahanBaku!I43)</f>
        <v>0</v>
      </c>
      <c r="F42" s="13" t="str">
        <f>IF(B_BahanBaku!L43="","",B_BahanBaku!L43)</f>
        <v/>
      </c>
      <c r="G42" s="14" t="str">
        <f t="shared" si="1"/>
        <v/>
      </c>
      <c r="H42" s="14" t="str">
        <f>IF(C42="","",IF(D42="","TANGGAL KOSONG",IF(AND(D42&gt;=Identitas!$B$32,D42&lt;=Identitas!$B$33),"Sesuai","DI LUAR PERIODE")))</f>
        <v/>
      </c>
    </row>
    <row r="43" ht="15.75" customHeight="1">
      <c r="A43" s="6" t="s">
        <v>675</v>
      </c>
      <c r="B43" s="13" t="str">
        <f>IF(N(B_BahanBaku!D44)=0,IF(B_BahanBaku!D44="","",B_BahanBaku!B44),B_BahanBaku!B44)</f>
        <v/>
      </c>
      <c r="C43" s="13" t="str">
        <f>IF(B_BahanBaku!K44="","",B_BahanBaku!K44)</f>
        <v/>
      </c>
      <c r="D43" s="26" t="str">
        <f>IF(B_BahanBaku!C44="","",B_BahanBaku!C44)</f>
        <v/>
      </c>
      <c r="E43" s="19">
        <f>N(B_BahanBaku!I44)</f>
        <v>0</v>
      </c>
      <c r="F43" s="13" t="str">
        <f>IF(B_BahanBaku!L44="","",B_BahanBaku!L44)</f>
        <v/>
      </c>
      <c r="G43" s="14" t="str">
        <f t="shared" si="1"/>
        <v/>
      </c>
      <c r="H43" s="14" t="str">
        <f>IF(C43="","",IF(D43="","TANGGAL KOSONG",IF(AND(D43&gt;=Identitas!$B$32,D43&lt;=Identitas!$B$33),"Sesuai","DI LUAR PERIODE")))</f>
        <v/>
      </c>
    </row>
    <row r="44" ht="15.75" customHeight="1">
      <c r="A44" s="6" t="s">
        <v>675</v>
      </c>
      <c r="B44" s="13" t="str">
        <f>IF(N(B_BahanBaku!D45)=0,IF(B_BahanBaku!D45="","",B_BahanBaku!B45),B_BahanBaku!B45)</f>
        <v/>
      </c>
      <c r="C44" s="13" t="str">
        <f>IF(B_BahanBaku!K45="","",B_BahanBaku!K45)</f>
        <v/>
      </c>
      <c r="D44" s="26" t="str">
        <f>IF(B_BahanBaku!C45="","",B_BahanBaku!C45)</f>
        <v/>
      </c>
      <c r="E44" s="19">
        <f>N(B_BahanBaku!I45)</f>
        <v>0</v>
      </c>
      <c r="F44" s="13" t="str">
        <f>IF(B_BahanBaku!L45="","",B_BahanBaku!L45)</f>
        <v/>
      </c>
      <c r="G44" s="14" t="str">
        <f t="shared" si="1"/>
        <v/>
      </c>
      <c r="H44" s="14" t="str">
        <f>IF(C44="","",IF(D44="","TANGGAL KOSONG",IF(AND(D44&gt;=Identitas!$B$32,D44&lt;=Identitas!$B$33),"Sesuai","DI LUAR PERIODE")))</f>
        <v/>
      </c>
    </row>
    <row r="45" ht="15.75" customHeight="1">
      <c r="A45" s="6" t="s">
        <v>784</v>
      </c>
      <c r="B45" s="13" t="str">
        <f>IF(C_Operasional!I7="","",C_Operasional!B7)</f>
        <v>18.71.XX.XXXX-20261005-OP-002</v>
      </c>
      <c r="C45" s="13" t="str">
        <f>IF(C_Operasional!I7="","",C_Operasional!I7)</f>
        <v>KW-OP-002</v>
      </c>
      <c r="D45" s="26">
        <f>IF(C_Operasional!C7="","",C_Operasional!C7)</f>
        <v>46300</v>
      </c>
      <c r="E45" s="19">
        <f>N(C_Operasional!H7)</f>
        <v>400000</v>
      </c>
      <c r="F45" s="46" t="str">
        <f>IF(C_Operasional!J7="","",C_Operasional!J7)</f>
        <v>https://cloud-sipgn.contoh/lpdh/op/KW-OP-002.pdf</v>
      </c>
      <c r="G45" s="14" t="str">
        <f t="shared" si="1"/>
        <v>Unik</v>
      </c>
      <c r="H45" s="14" t="str">
        <f>IF(C45="","",IF(D45="","TANGGAL KOSONG",IF(AND(D45&gt;=Identitas!$B$32,D45&lt;=Identitas!$B$33),"Sesuai","DI LUAR PERIODE")))</f>
        <v>Sesuai</v>
      </c>
    </row>
    <row r="46" ht="15.75" customHeight="1">
      <c r="A46" s="6" t="s">
        <v>784</v>
      </c>
      <c r="B46" s="13" t="str">
        <f>IF(C_Operasional!I8="","",C_Operasional!B8)</f>
        <v>18.71.XX.XXXX-20261005-OP-003</v>
      </c>
      <c r="C46" s="13" t="str">
        <f>IF(C_Operasional!I8="","",C_Operasional!I8)</f>
        <v>KW-OP-003</v>
      </c>
      <c r="D46" s="26">
        <f>IF(C_Operasional!C8="","",C_Operasional!C8)</f>
        <v>46300</v>
      </c>
      <c r="E46" s="19">
        <f>N(C_Operasional!H8)</f>
        <v>150000</v>
      </c>
      <c r="F46" s="46" t="str">
        <f>IF(C_Operasional!J8="","",C_Operasional!J8)</f>
        <v>https://cloud-sipgn.contoh/lpdh/op/KW-OP-003.pdf</v>
      </c>
      <c r="G46" s="14" t="str">
        <f t="shared" si="1"/>
        <v>Unik</v>
      </c>
      <c r="H46" s="14" t="str">
        <f>IF(C46="","",IF(D46="","TANGGAL KOSONG",IF(AND(D46&gt;=Identitas!$B$32,D46&lt;=Identitas!$B$33),"Sesuai","DI LUAR PERIODE")))</f>
        <v>Sesuai</v>
      </c>
    </row>
    <row r="47" ht="15.75" customHeight="1">
      <c r="A47" s="6" t="s">
        <v>784</v>
      </c>
      <c r="B47" s="13" t="str">
        <f>IF(C_Operasional!I9="","",C_Operasional!B9)</f>
        <v/>
      </c>
      <c r="C47" s="13" t="str">
        <f>IF(C_Operasional!I9="","",C_Operasional!I9)</f>
        <v/>
      </c>
      <c r="D47" s="26" t="str">
        <f>IF(C_Operasional!C9="","",C_Operasional!C9)</f>
        <v/>
      </c>
      <c r="E47" s="19">
        <f>N(C_Operasional!H9)</f>
        <v>0</v>
      </c>
      <c r="F47" s="13" t="str">
        <f>IF(C_Operasional!J9="","",C_Operasional!J9)</f>
        <v/>
      </c>
      <c r="G47" s="14" t="str">
        <f t="shared" si="1"/>
        <v/>
      </c>
      <c r="H47" s="14" t="str">
        <f>IF(C47="","",IF(D47="","TANGGAL KOSONG",IF(AND(D47&gt;=Identitas!$B$32,D47&lt;=Identitas!$B$33),"Sesuai","DI LUAR PERIODE")))</f>
        <v/>
      </c>
    </row>
    <row r="48" ht="15.75" customHeight="1">
      <c r="A48" s="6" t="s">
        <v>784</v>
      </c>
      <c r="B48" s="13" t="str">
        <f>IF(C_Operasional!I10="","",C_Operasional!B10)</f>
        <v>18.71.XX.XXXX-20261005-OP-005</v>
      </c>
      <c r="C48" s="13" t="str">
        <f>IF(C_Operasional!I10="","",C_Operasional!I10)</f>
        <v>KW-OP-005</v>
      </c>
      <c r="D48" s="26">
        <f>IF(C_Operasional!C10="","",C_Operasional!C10)</f>
        <v>46300</v>
      </c>
      <c r="E48" s="19">
        <f>N(C_Operasional!H10)</f>
        <v>350000</v>
      </c>
      <c r="F48" s="46" t="str">
        <f>IF(C_Operasional!J10="","",C_Operasional!J10)</f>
        <v>https://cloud-sipgn.contoh/lpdh/op/KW-OP-005.pdf</v>
      </c>
      <c r="G48" s="14" t="str">
        <f t="shared" si="1"/>
        <v>Unik</v>
      </c>
      <c r="H48" s="14" t="str">
        <f>IF(C48="","",IF(D48="","TANGGAL KOSONG",IF(AND(D48&gt;=Identitas!$B$32,D48&lt;=Identitas!$B$33),"Sesuai","DI LUAR PERIODE")))</f>
        <v>Sesuai</v>
      </c>
    </row>
    <row r="49" ht="15.75" customHeight="1">
      <c r="A49" s="6" t="s">
        <v>784</v>
      </c>
      <c r="B49" s="13" t="str">
        <f>IF(C_Operasional!I11="","",C_Operasional!B11)</f>
        <v>18.71.XX.XXXX-20261005-OP-006</v>
      </c>
      <c r="C49" s="13" t="str">
        <f>IF(C_Operasional!I11="","",C_Operasional!I11)</f>
        <v>KW-OP-006</v>
      </c>
      <c r="D49" s="26">
        <f>IF(C_Operasional!C11="","",C_Operasional!C11)</f>
        <v>46300</v>
      </c>
      <c r="E49" s="19">
        <f>N(C_Operasional!H11)</f>
        <v>60000</v>
      </c>
      <c r="F49" s="46" t="str">
        <f>IF(C_Operasional!J11="","",C_Operasional!J11)</f>
        <v>https://cloud-sipgn.contoh/lpdh/op/KW-OP-006.pdf</v>
      </c>
      <c r="G49" s="14" t="str">
        <f t="shared" si="1"/>
        <v>Unik</v>
      </c>
      <c r="H49" s="14" t="str">
        <f>IF(C49="","",IF(D49="","TANGGAL KOSONG",IF(AND(D49&gt;=Identitas!$B$32,D49&lt;=Identitas!$B$33),"Sesuai","DI LUAR PERIODE")))</f>
        <v>Sesuai</v>
      </c>
    </row>
    <row r="50" ht="15.75" customHeight="1">
      <c r="A50" s="6" t="s">
        <v>784</v>
      </c>
      <c r="B50" s="13" t="str">
        <f>IF(C_Operasional!I12="","",C_Operasional!B12)</f>
        <v>18.71.XX.XXXX-20261005-OP-007</v>
      </c>
      <c r="C50" s="13" t="str">
        <f>IF(C_Operasional!I12="","",C_Operasional!I12)</f>
        <v>KW-OP-007</v>
      </c>
      <c r="D50" s="26">
        <f>IF(C_Operasional!C12="","",C_Operasional!C12)</f>
        <v>46300</v>
      </c>
      <c r="E50" s="19">
        <f>N(C_Operasional!H12)</f>
        <v>60000</v>
      </c>
      <c r="F50" s="46" t="str">
        <f>IF(C_Operasional!J12="","",C_Operasional!J12)</f>
        <v>https://cloud-sipgn.contoh/lpdh/op/KW-OP-007.pdf</v>
      </c>
      <c r="G50" s="14" t="str">
        <f t="shared" si="1"/>
        <v>Unik</v>
      </c>
      <c r="H50" s="14" t="str">
        <f>IF(C50="","",IF(D50="","TANGGAL KOSONG",IF(AND(D50&gt;=Identitas!$B$32,D50&lt;=Identitas!$B$33),"Sesuai","DI LUAR PERIODE")))</f>
        <v>Sesuai</v>
      </c>
    </row>
    <row r="51" ht="15.75" customHeight="1">
      <c r="A51" s="6" t="s">
        <v>784</v>
      </c>
      <c r="B51" s="13" t="str">
        <f>IF(C_Operasional!I13="","",C_Operasional!B13)</f>
        <v>18.71.XX.XXXX-20261005-OP-008</v>
      </c>
      <c r="C51" s="13" t="str">
        <f>IF(C_Operasional!I13="","",C_Operasional!I13)</f>
        <v>KW-OP-008</v>
      </c>
      <c r="D51" s="26">
        <f>IF(C_Operasional!C13="","",C_Operasional!C13)</f>
        <v>46300</v>
      </c>
      <c r="E51" s="19">
        <f>N(C_Operasional!H13)</f>
        <v>920000</v>
      </c>
      <c r="F51" s="46" t="str">
        <f>IF(C_Operasional!J13="","",C_Operasional!J13)</f>
        <v>https://cloud-sipgn.contoh/lpdh/op/KW-OP-008.pdf</v>
      </c>
      <c r="G51" s="14" t="str">
        <f t="shared" si="1"/>
        <v>Unik</v>
      </c>
      <c r="H51" s="14" t="str">
        <f>IF(C51="","",IF(D51="","TANGGAL KOSONG",IF(AND(D51&gt;=Identitas!$B$32,D51&lt;=Identitas!$B$33),"Sesuai","DI LUAR PERIODE")))</f>
        <v>Sesuai</v>
      </c>
    </row>
    <row r="52" ht="15.75" customHeight="1">
      <c r="A52" s="6" t="s">
        <v>784</v>
      </c>
      <c r="B52" s="13" t="str">
        <f>IF(C_Operasional!I14="","",C_Operasional!B14)</f>
        <v/>
      </c>
      <c r="C52" s="13" t="str">
        <f>IF(C_Operasional!I14="","",C_Operasional!I14)</f>
        <v/>
      </c>
      <c r="D52" s="26" t="str">
        <f>IF(C_Operasional!C14="","",C_Operasional!C14)</f>
        <v/>
      </c>
      <c r="E52" s="19">
        <f>N(C_Operasional!H14)</f>
        <v>0</v>
      </c>
      <c r="F52" s="13" t="str">
        <f>IF(C_Operasional!J14="","",C_Operasional!J14)</f>
        <v/>
      </c>
      <c r="G52" s="14" t="str">
        <f t="shared" si="1"/>
        <v/>
      </c>
      <c r="H52" s="14" t="str">
        <f>IF(C52="","",IF(D52="","TANGGAL KOSONG",IF(AND(D52&gt;=Identitas!$B$32,D52&lt;=Identitas!$B$33),"Sesuai","DI LUAR PERIODE")))</f>
        <v/>
      </c>
    </row>
    <row r="53" ht="15.75" customHeight="1">
      <c r="A53" s="6" t="s">
        <v>784</v>
      </c>
      <c r="B53" s="13" t="str">
        <f>IF(C_Operasional!I15="","",C_Operasional!B15)</f>
        <v>18.71.XX.XXXX-20261005-OP-010</v>
      </c>
      <c r="C53" s="13" t="str">
        <f>IF(C_Operasional!I15="","",C_Operasional!I15)</f>
        <v>KW-OP-010</v>
      </c>
      <c r="D53" s="26">
        <f>IF(C_Operasional!C15="","",C_Operasional!C15)</f>
        <v>46300</v>
      </c>
      <c r="E53" s="19">
        <f>N(C_Operasional!H15)</f>
        <v>400000</v>
      </c>
      <c r="F53" s="46" t="str">
        <f>IF(C_Operasional!J15="","",C_Operasional!J15)</f>
        <v>https://cloud-sipgn.contoh/lpdh/op/KW-OP-010.pdf</v>
      </c>
      <c r="G53" s="14" t="str">
        <f t="shared" si="1"/>
        <v>Unik</v>
      </c>
      <c r="H53" s="14" t="str">
        <f>IF(C53="","",IF(D53="","TANGGAL KOSONG",IF(AND(D53&gt;=Identitas!$B$32,D53&lt;=Identitas!$B$33),"Sesuai","DI LUAR PERIODE")))</f>
        <v>Sesuai</v>
      </c>
    </row>
    <row r="54" ht="15.75" customHeight="1">
      <c r="A54" s="6" t="s">
        <v>784</v>
      </c>
      <c r="B54" s="13" t="str">
        <f>IF(C_Operasional!I16="","",C_Operasional!B16)</f>
        <v>18.71.XX.XXXX-20261005-OP-011</v>
      </c>
      <c r="C54" s="13" t="str">
        <f>IF(C_Operasional!I16="","",C_Operasional!I16)</f>
        <v>KW-OP-011</v>
      </c>
      <c r="D54" s="26">
        <f>IF(C_Operasional!C16="","",C_Operasional!C16)</f>
        <v>46300</v>
      </c>
      <c r="E54" s="19">
        <f>N(C_Operasional!H16)</f>
        <v>25000</v>
      </c>
      <c r="F54" s="46" t="str">
        <f>IF(C_Operasional!J16="","",C_Operasional!J16)</f>
        <v>https://cloud-sipgn.contoh/lpdh/op/KW-OP-011.pdf</v>
      </c>
      <c r="G54" s="14" t="str">
        <f t="shared" si="1"/>
        <v>Unik</v>
      </c>
      <c r="H54" s="14" t="str">
        <f>IF(C54="","",IF(D54="","TANGGAL KOSONG",IF(AND(D54&gt;=Identitas!$B$32,D54&lt;=Identitas!$B$33),"Sesuai","DI LUAR PERIODE")))</f>
        <v>Sesuai</v>
      </c>
    </row>
    <row r="55" ht="15.75" customHeight="1">
      <c r="A55" s="6" t="s">
        <v>784</v>
      </c>
      <c r="B55" s="13" t="str">
        <f>IF(C_Operasional!I17="","",C_Operasional!B17)</f>
        <v/>
      </c>
      <c r="C55" s="13" t="str">
        <f>IF(C_Operasional!I17="","",C_Operasional!I17)</f>
        <v/>
      </c>
      <c r="D55" s="26" t="str">
        <f>IF(C_Operasional!C17="","",C_Operasional!C17)</f>
        <v/>
      </c>
      <c r="E55" s="19">
        <f>N(C_Operasional!H17)</f>
        <v>0</v>
      </c>
      <c r="F55" s="13" t="str">
        <f>IF(C_Operasional!J17="","",C_Operasional!J17)</f>
        <v/>
      </c>
      <c r="G55" s="14" t="str">
        <f t="shared" si="1"/>
        <v/>
      </c>
      <c r="H55" s="14" t="str">
        <f>IF(C55="","",IF(D55="","TANGGAL KOSONG",IF(AND(D55&gt;=Identitas!$B$32,D55&lt;=Identitas!$B$33),"Sesuai","DI LUAR PERIODE")))</f>
        <v/>
      </c>
    </row>
    <row r="56" ht="15.75" customHeight="1">
      <c r="A56" s="6" t="s">
        <v>784</v>
      </c>
      <c r="B56" s="13" t="str">
        <f>IF(C_Operasional!I18="","",C_Operasional!B18)</f>
        <v>18.71.XX.XXXX-20261005-OP-013</v>
      </c>
      <c r="C56" s="13" t="str">
        <f>IF(C_Operasional!I18="","",C_Operasional!I18)</f>
        <v>KW-OP-013</v>
      </c>
      <c r="D56" s="26">
        <f>IF(C_Operasional!C18="","",C_Operasional!C18)</f>
        <v>46300</v>
      </c>
      <c r="E56" s="19">
        <f>N(C_Operasional!H18)</f>
        <v>75000</v>
      </c>
      <c r="F56" s="46" t="str">
        <f>IF(C_Operasional!J18="","",C_Operasional!J18)</f>
        <v>https://cloud-sipgn.contoh/lpdh/op/KW-OP-013.pdf</v>
      </c>
      <c r="G56" s="14" t="str">
        <f t="shared" si="1"/>
        <v>Unik</v>
      </c>
      <c r="H56" s="14" t="str">
        <f>IF(C56="","",IF(D56="","TANGGAL KOSONG",IF(AND(D56&gt;=Identitas!$B$32,D56&lt;=Identitas!$B$33),"Sesuai","DI LUAR PERIODE")))</f>
        <v>Sesuai</v>
      </c>
    </row>
    <row r="57" ht="15.75" customHeight="1">
      <c r="A57" s="6" t="s">
        <v>784</v>
      </c>
      <c r="B57" s="13" t="str">
        <f>IF(C_Operasional!I19="","",C_Operasional!B19)</f>
        <v>18.71.XX.XXXX-20261005-OP-014</v>
      </c>
      <c r="C57" s="13" t="str">
        <f>IF(C_Operasional!I19="","",C_Operasional!I19)</f>
        <v>KW-OP-014</v>
      </c>
      <c r="D57" s="26">
        <f>IF(C_Operasional!C19="","",C_Operasional!C19)</f>
        <v>46300</v>
      </c>
      <c r="E57" s="19">
        <f>N(C_Operasional!H19)</f>
        <v>120000</v>
      </c>
      <c r="F57" s="46" t="str">
        <f>IF(C_Operasional!J19="","",C_Operasional!J19)</f>
        <v>https://cloud-sipgn.contoh/lpdh/op/KW-OP-014.pdf</v>
      </c>
      <c r="G57" s="14" t="str">
        <f t="shared" si="1"/>
        <v>Unik</v>
      </c>
      <c r="H57" s="14" t="str">
        <f>IF(C57="","",IF(D57="","TANGGAL KOSONG",IF(AND(D57&gt;=Identitas!$B$32,D57&lt;=Identitas!$B$33),"Sesuai","DI LUAR PERIODE")))</f>
        <v>Sesuai</v>
      </c>
    </row>
    <row r="58" ht="15.75" customHeight="1">
      <c r="A58" s="6" t="s">
        <v>784</v>
      </c>
      <c r="B58" s="13" t="str">
        <f>IF(C_Operasional!I20="","",C_Operasional!B20)</f>
        <v/>
      </c>
      <c r="C58" s="13" t="str">
        <f>IF(C_Operasional!I20="","",C_Operasional!I20)</f>
        <v/>
      </c>
      <c r="D58" s="26" t="str">
        <f>IF(C_Operasional!C20="","",C_Operasional!C20)</f>
        <v/>
      </c>
      <c r="E58" s="19">
        <f>N(C_Operasional!H20)</f>
        <v>0</v>
      </c>
      <c r="F58" s="13" t="str">
        <f>IF(C_Operasional!J20="","",C_Operasional!J20)</f>
        <v/>
      </c>
      <c r="G58" s="14" t="str">
        <f t="shared" si="1"/>
        <v/>
      </c>
      <c r="H58" s="14" t="str">
        <f>IF(C58="","",IF(D58="","TANGGAL KOSONG",IF(AND(D58&gt;=Identitas!$B$32,D58&lt;=Identitas!$B$33),"Sesuai","DI LUAR PERIODE")))</f>
        <v/>
      </c>
    </row>
    <row r="59" ht="15.75" customHeight="1">
      <c r="A59" s="6" t="s">
        <v>784</v>
      </c>
      <c r="B59" s="13" t="str">
        <f>IF(C_Operasional!I21="","",C_Operasional!B21)</f>
        <v/>
      </c>
      <c r="C59" s="13" t="str">
        <f>IF(C_Operasional!I21="","",C_Operasional!I21)</f>
        <v/>
      </c>
      <c r="D59" s="26" t="str">
        <f>IF(C_Operasional!C21="","",C_Operasional!C21)</f>
        <v/>
      </c>
      <c r="E59" s="19">
        <f>N(C_Operasional!H21)</f>
        <v>0</v>
      </c>
      <c r="F59" s="13" t="str">
        <f>IF(C_Operasional!J21="","",C_Operasional!J21)</f>
        <v/>
      </c>
      <c r="G59" s="14" t="str">
        <f t="shared" si="1"/>
        <v/>
      </c>
      <c r="H59" s="14" t="str">
        <f>IF(C59="","",IF(D59="","TANGGAL KOSONG",IF(AND(D59&gt;=Identitas!$B$32,D59&lt;=Identitas!$B$33),"Sesuai","DI LUAR PERIODE")))</f>
        <v/>
      </c>
    </row>
    <row r="60" ht="15.75" customHeight="1">
      <c r="A60" s="6" t="s">
        <v>785</v>
      </c>
      <c r="B60" s="13" t="str">
        <f>IF(N('C1_Relawan'!C6)=0,IF('C1_Relawan'!C6="","",'C1_Relawan'!B6),'C1_Relawan'!B6)</f>
        <v>18.71.XX.XXXX-20261005-RL-001</v>
      </c>
      <c r="C60" s="13" t="str">
        <f>IF('C1_Relawan'!J6="","",'C1_Relawan'!J6)</f>
        <v>BYR-RL-001</v>
      </c>
      <c r="D60" s="26">
        <f>IF('C1_Relawan'!E6="","",'C1_Relawan'!E6)</f>
        <v>46300</v>
      </c>
      <c r="E60" s="19">
        <f>N('C1_Relawan'!H6)</f>
        <v>90000</v>
      </c>
      <c r="F60" s="46" t="str">
        <f>IF('C1_Relawan'!K6="","",'C1_Relawan'!K6)</f>
        <v>https://cloud-sipgn.contoh/lpdh/relawan/BYR-RL-001.pdf</v>
      </c>
      <c r="G60" s="14" t="str">
        <f t="shared" si="1"/>
        <v>Unik</v>
      </c>
      <c r="H60" s="14" t="str">
        <f>IF(C60="","",IF(D60="","TANGGAL KOSONG",IF(AND(D60&gt;=Identitas!$B$32,D60&lt;=Identitas!$B$33),"Sesuai","DI LUAR PERIODE")))</f>
        <v>Sesuai</v>
      </c>
    </row>
    <row r="61" ht="15.75" customHeight="1">
      <c r="A61" s="6" t="s">
        <v>785</v>
      </c>
      <c r="B61" s="13" t="str">
        <f>IF(N('C1_Relawan'!C7)=0,IF('C1_Relawan'!C7="","",'C1_Relawan'!B7),'C1_Relawan'!B7)</f>
        <v>18.71.XX.XXXX-20261005-RL-002</v>
      </c>
      <c r="C61" s="13" t="str">
        <f>IF('C1_Relawan'!J7="","",'C1_Relawan'!J7)</f>
        <v>BYR-RL-002</v>
      </c>
      <c r="D61" s="26">
        <f>IF('C1_Relawan'!E7="","",'C1_Relawan'!E7)</f>
        <v>46300</v>
      </c>
      <c r="E61" s="19">
        <f>N('C1_Relawan'!H7)</f>
        <v>90000</v>
      </c>
      <c r="F61" s="46" t="str">
        <f>IF('C1_Relawan'!K7="","",'C1_Relawan'!K7)</f>
        <v>https://cloud-sipgn.contoh/lpdh/relawan/BYR-RL-002.pdf</v>
      </c>
      <c r="G61" s="14" t="str">
        <f t="shared" si="1"/>
        <v>Unik</v>
      </c>
      <c r="H61" s="14" t="str">
        <f>IF(C61="","",IF(D61="","TANGGAL KOSONG",IF(AND(D61&gt;=Identitas!$B$32,D61&lt;=Identitas!$B$33),"Sesuai","DI LUAR PERIODE")))</f>
        <v>Sesuai</v>
      </c>
    </row>
    <row r="62" ht="15.75" customHeight="1">
      <c r="A62" s="6" t="s">
        <v>785</v>
      </c>
      <c r="B62" s="13" t="str">
        <f>IF(N('C1_Relawan'!C8)=0,IF('C1_Relawan'!C8="","",'C1_Relawan'!B8),'C1_Relawan'!B8)</f>
        <v>18.71.XX.XXXX-20261005-RL-003</v>
      </c>
      <c r="C62" s="13" t="str">
        <f>IF('C1_Relawan'!J8="","",'C1_Relawan'!J8)</f>
        <v>BYR-RL-003</v>
      </c>
      <c r="D62" s="26">
        <f>IF('C1_Relawan'!E8="","",'C1_Relawan'!E8)</f>
        <v>46300</v>
      </c>
      <c r="E62" s="19">
        <f>N('C1_Relawan'!H8)</f>
        <v>90000</v>
      </c>
      <c r="F62" s="46" t="str">
        <f>IF('C1_Relawan'!K8="","",'C1_Relawan'!K8)</f>
        <v>https://cloud-sipgn.contoh/lpdh/relawan/BYR-RL-003.pdf</v>
      </c>
      <c r="G62" s="14" t="str">
        <f t="shared" si="1"/>
        <v>Unik</v>
      </c>
      <c r="H62" s="14" t="str">
        <f>IF(C62="","",IF(D62="","TANGGAL KOSONG",IF(AND(D62&gt;=Identitas!$B$32,D62&lt;=Identitas!$B$33),"Sesuai","DI LUAR PERIODE")))</f>
        <v>Sesuai</v>
      </c>
    </row>
    <row r="63" ht="15.75" customHeight="1">
      <c r="A63" s="6" t="s">
        <v>785</v>
      </c>
      <c r="B63" s="13" t="str">
        <f>IF(N('C1_Relawan'!C9)=0,IF('C1_Relawan'!C9="","",'C1_Relawan'!B9),'C1_Relawan'!B9)</f>
        <v>18.71.XX.XXXX-20261005-RL-004</v>
      </c>
      <c r="C63" s="13" t="str">
        <f>IF('C1_Relawan'!J9="","",'C1_Relawan'!J9)</f>
        <v>BYR-RL-004</v>
      </c>
      <c r="D63" s="26">
        <f>IF('C1_Relawan'!E9="","",'C1_Relawan'!E9)</f>
        <v>46300</v>
      </c>
      <c r="E63" s="19">
        <f>N('C1_Relawan'!H9)</f>
        <v>90000</v>
      </c>
      <c r="F63" s="46" t="str">
        <f>IF('C1_Relawan'!K9="","",'C1_Relawan'!K9)</f>
        <v>https://cloud-sipgn.contoh/lpdh/relawan/BYR-RL-004.pdf</v>
      </c>
      <c r="G63" s="14" t="str">
        <f t="shared" si="1"/>
        <v>Unik</v>
      </c>
      <c r="H63" s="14" t="str">
        <f>IF(C63="","",IF(D63="","TANGGAL KOSONG",IF(AND(D63&gt;=Identitas!$B$32,D63&lt;=Identitas!$B$33),"Sesuai","DI LUAR PERIODE")))</f>
        <v>Sesuai</v>
      </c>
    </row>
    <row r="64" ht="15.75" customHeight="1">
      <c r="A64" s="6" t="s">
        <v>785</v>
      </c>
      <c r="B64" s="13" t="str">
        <f>IF(N('C1_Relawan'!C10)=0,IF('C1_Relawan'!C10="","",'C1_Relawan'!B10),'C1_Relawan'!B10)</f>
        <v>18.71.XX.XXXX-20261005-RL-005</v>
      </c>
      <c r="C64" s="13" t="str">
        <f>IF('C1_Relawan'!J10="","",'C1_Relawan'!J10)</f>
        <v>BYR-RL-005</v>
      </c>
      <c r="D64" s="26">
        <f>IF('C1_Relawan'!E10="","",'C1_Relawan'!E10)</f>
        <v>46300</v>
      </c>
      <c r="E64" s="19">
        <f>N('C1_Relawan'!H10)</f>
        <v>90000</v>
      </c>
      <c r="F64" s="46" t="str">
        <f>IF('C1_Relawan'!K10="","",'C1_Relawan'!K10)</f>
        <v>https://cloud-sipgn.contoh/lpdh/relawan/BYR-RL-005.pdf</v>
      </c>
      <c r="G64" s="14" t="str">
        <f t="shared" si="1"/>
        <v>Unik</v>
      </c>
      <c r="H64" s="14" t="str">
        <f>IF(C64="","",IF(D64="","TANGGAL KOSONG",IF(AND(D64&gt;=Identitas!$B$32,D64&lt;=Identitas!$B$33),"Sesuai","DI LUAR PERIODE")))</f>
        <v>Sesuai</v>
      </c>
    </row>
    <row r="65" ht="15.75" customHeight="1">
      <c r="A65" s="6" t="s">
        <v>785</v>
      </c>
      <c r="B65" s="13" t="str">
        <f>IF(N('C1_Relawan'!C11)=0,IF('C1_Relawan'!C11="","",'C1_Relawan'!B11),'C1_Relawan'!B11)</f>
        <v>18.71.XX.XXXX-20261005-RL-006</v>
      </c>
      <c r="C65" s="13" t="str">
        <f>IF('C1_Relawan'!J11="","",'C1_Relawan'!J11)</f>
        <v>BYR-RL-006</v>
      </c>
      <c r="D65" s="26">
        <f>IF('C1_Relawan'!E11="","",'C1_Relawan'!E11)</f>
        <v>46300</v>
      </c>
      <c r="E65" s="19">
        <f>N('C1_Relawan'!H11)</f>
        <v>90000</v>
      </c>
      <c r="F65" s="46" t="str">
        <f>IF('C1_Relawan'!K11="","",'C1_Relawan'!K11)</f>
        <v>https://cloud-sipgn.contoh/lpdh/relawan/BYR-RL-006.pdf</v>
      </c>
      <c r="G65" s="14" t="str">
        <f t="shared" si="1"/>
        <v>Unik</v>
      </c>
      <c r="H65" s="14" t="str">
        <f>IF(C65="","",IF(D65="","TANGGAL KOSONG",IF(AND(D65&gt;=Identitas!$B$32,D65&lt;=Identitas!$B$33),"Sesuai","DI LUAR PERIODE")))</f>
        <v>Sesuai</v>
      </c>
    </row>
    <row r="66" ht="15.75" customHeight="1">
      <c r="A66" s="6" t="s">
        <v>785</v>
      </c>
      <c r="B66" s="13" t="str">
        <f>IF(N('C1_Relawan'!C12)=0,IF('C1_Relawan'!C12="","",'C1_Relawan'!B12),'C1_Relawan'!B12)</f>
        <v>18.71.XX.XXXX-20261005-RL-007</v>
      </c>
      <c r="C66" s="13" t="str">
        <f>IF('C1_Relawan'!J12="","",'C1_Relawan'!J12)</f>
        <v>BYR-RL-007</v>
      </c>
      <c r="D66" s="26">
        <f>IF('C1_Relawan'!E12="","",'C1_Relawan'!E12)</f>
        <v>46300</v>
      </c>
      <c r="E66" s="19">
        <f>N('C1_Relawan'!H12)</f>
        <v>90000</v>
      </c>
      <c r="F66" s="46" t="str">
        <f>IF('C1_Relawan'!K12="","",'C1_Relawan'!K12)</f>
        <v>https://cloud-sipgn.contoh/lpdh/relawan/BYR-RL-007.pdf</v>
      </c>
      <c r="G66" s="14" t="str">
        <f t="shared" si="1"/>
        <v>Unik</v>
      </c>
      <c r="H66" s="14" t="str">
        <f>IF(C66="","",IF(D66="","TANGGAL KOSONG",IF(AND(D66&gt;=Identitas!$B$32,D66&lt;=Identitas!$B$33),"Sesuai","DI LUAR PERIODE")))</f>
        <v>Sesuai</v>
      </c>
    </row>
    <row r="67" ht="15.75" customHeight="1">
      <c r="A67" s="6" t="s">
        <v>785</v>
      </c>
      <c r="B67" s="13" t="str">
        <f>IF(N('C1_Relawan'!C13)=0,IF('C1_Relawan'!C13="","",'C1_Relawan'!B13),'C1_Relawan'!B13)</f>
        <v>18.71.XX.XXXX-20261005-RL-008</v>
      </c>
      <c r="C67" s="13" t="str">
        <f>IF('C1_Relawan'!J13="","",'C1_Relawan'!J13)</f>
        <v>BYR-RL-008</v>
      </c>
      <c r="D67" s="26">
        <f>IF('C1_Relawan'!E13="","",'C1_Relawan'!E13)</f>
        <v>46300</v>
      </c>
      <c r="E67" s="19">
        <f>N('C1_Relawan'!H13)</f>
        <v>90000</v>
      </c>
      <c r="F67" s="46" t="str">
        <f>IF('C1_Relawan'!K13="","",'C1_Relawan'!K13)</f>
        <v>https://cloud-sipgn.contoh/lpdh/relawan/BYR-RL-008.pdf</v>
      </c>
      <c r="G67" s="14" t="str">
        <f t="shared" si="1"/>
        <v>Unik</v>
      </c>
      <c r="H67" s="14" t="str">
        <f>IF(C67="","",IF(D67="","TANGGAL KOSONG",IF(AND(D67&gt;=Identitas!$B$32,D67&lt;=Identitas!$B$33),"Sesuai","DI LUAR PERIODE")))</f>
        <v>Sesuai</v>
      </c>
    </row>
    <row r="68" ht="15.75" customHeight="1">
      <c r="A68" s="6" t="s">
        <v>785</v>
      </c>
      <c r="B68" s="13" t="str">
        <f>IF(N('C1_Relawan'!C14)=0,IF('C1_Relawan'!C14="","",'C1_Relawan'!B14),'C1_Relawan'!B14)</f>
        <v>18.71.XX.XXXX-20261005-RL-009</v>
      </c>
      <c r="C68" s="13" t="str">
        <f>IF('C1_Relawan'!J14="","",'C1_Relawan'!J14)</f>
        <v>BYR-RL-009</v>
      </c>
      <c r="D68" s="26">
        <f>IF('C1_Relawan'!E14="","",'C1_Relawan'!E14)</f>
        <v>46300</v>
      </c>
      <c r="E68" s="19">
        <f>N('C1_Relawan'!H14)</f>
        <v>90000</v>
      </c>
      <c r="F68" s="46" t="str">
        <f>IF('C1_Relawan'!K14="","",'C1_Relawan'!K14)</f>
        <v>https://cloud-sipgn.contoh/lpdh/relawan/BYR-RL-009.pdf</v>
      </c>
      <c r="G68" s="14" t="str">
        <f t="shared" si="1"/>
        <v>Unik</v>
      </c>
      <c r="H68" s="14" t="str">
        <f>IF(C68="","",IF(D68="","TANGGAL KOSONG",IF(AND(D68&gt;=Identitas!$B$32,D68&lt;=Identitas!$B$33),"Sesuai","DI LUAR PERIODE")))</f>
        <v>Sesuai</v>
      </c>
    </row>
    <row r="69" ht="15.75" customHeight="1">
      <c r="A69" s="6" t="s">
        <v>785</v>
      </c>
      <c r="B69" s="13" t="str">
        <f>IF(N('C1_Relawan'!C15)=0,IF('C1_Relawan'!C15="","",'C1_Relawan'!B15),'C1_Relawan'!B15)</f>
        <v>18.71.XX.XXXX-20261005-RL-010</v>
      </c>
      <c r="C69" s="13" t="str">
        <f>IF('C1_Relawan'!J15="","",'C1_Relawan'!J15)</f>
        <v>BYR-RL-010</v>
      </c>
      <c r="D69" s="26">
        <f>IF('C1_Relawan'!E15="","",'C1_Relawan'!E15)</f>
        <v>46300</v>
      </c>
      <c r="E69" s="19">
        <f>N('C1_Relawan'!H15)</f>
        <v>90000</v>
      </c>
      <c r="F69" s="46" t="str">
        <f>IF('C1_Relawan'!K15="","",'C1_Relawan'!K15)</f>
        <v>https://cloud-sipgn.contoh/lpdh/relawan/BYR-RL-010.pdf</v>
      </c>
      <c r="G69" s="14" t="str">
        <f t="shared" si="1"/>
        <v>Unik</v>
      </c>
      <c r="H69" s="14" t="str">
        <f>IF(C69="","",IF(D69="","TANGGAL KOSONG",IF(AND(D69&gt;=Identitas!$B$32,D69&lt;=Identitas!$B$33),"Sesuai","DI LUAR PERIODE")))</f>
        <v>Sesuai</v>
      </c>
    </row>
    <row r="70" ht="15.75" customHeight="1">
      <c r="A70" s="6" t="s">
        <v>785</v>
      </c>
      <c r="B70" s="13" t="str">
        <f>IF(N('C1_Relawan'!C16)=0,IF('C1_Relawan'!C16="","",'C1_Relawan'!B16),'C1_Relawan'!B16)</f>
        <v>18.71.XX.XXXX-20261005-RL-011</v>
      </c>
      <c r="C70" s="13" t="str">
        <f>IF('C1_Relawan'!J16="","",'C1_Relawan'!J16)</f>
        <v>BYR-RL-011</v>
      </c>
      <c r="D70" s="26">
        <f>IF('C1_Relawan'!E16="","",'C1_Relawan'!E16)</f>
        <v>46300</v>
      </c>
      <c r="E70" s="19">
        <f>N('C1_Relawan'!H16)</f>
        <v>90000</v>
      </c>
      <c r="F70" s="46" t="str">
        <f>IF('C1_Relawan'!K16="","",'C1_Relawan'!K16)</f>
        <v>https://cloud-sipgn.contoh/lpdh/relawan/BYR-RL-011.pdf</v>
      </c>
      <c r="G70" s="14" t="str">
        <f t="shared" si="1"/>
        <v>Unik</v>
      </c>
      <c r="H70" s="14" t="str">
        <f>IF(C70="","",IF(D70="","TANGGAL KOSONG",IF(AND(D70&gt;=Identitas!$B$32,D70&lt;=Identitas!$B$33),"Sesuai","DI LUAR PERIODE")))</f>
        <v>Sesuai</v>
      </c>
    </row>
    <row r="71" ht="15.75" customHeight="1">
      <c r="A71" s="6" t="s">
        <v>785</v>
      </c>
      <c r="B71" s="13" t="str">
        <f>IF(N('C1_Relawan'!C17)=0,IF('C1_Relawan'!C17="","",'C1_Relawan'!B17),'C1_Relawan'!B17)</f>
        <v>18.71.XX.XXXX-20261005-RL-012</v>
      </c>
      <c r="C71" s="13" t="str">
        <f>IF('C1_Relawan'!J17="","",'C1_Relawan'!J17)</f>
        <v>BYR-RL-012</v>
      </c>
      <c r="D71" s="26">
        <f>IF('C1_Relawan'!E17="","",'C1_Relawan'!E17)</f>
        <v>46300</v>
      </c>
      <c r="E71" s="19">
        <f>N('C1_Relawan'!H17)</f>
        <v>90000</v>
      </c>
      <c r="F71" s="46" t="str">
        <f>IF('C1_Relawan'!K17="","",'C1_Relawan'!K17)</f>
        <v>https://cloud-sipgn.contoh/lpdh/relawan/BYR-RL-012.pdf</v>
      </c>
      <c r="G71" s="14" t="str">
        <f t="shared" si="1"/>
        <v>Unik</v>
      </c>
      <c r="H71" s="14" t="str">
        <f>IF(C71="","",IF(D71="","TANGGAL KOSONG",IF(AND(D71&gt;=Identitas!$B$32,D71&lt;=Identitas!$B$33),"Sesuai","DI LUAR PERIODE")))</f>
        <v>Sesuai</v>
      </c>
    </row>
    <row r="72" ht="15.75" customHeight="1">
      <c r="A72" s="6" t="s">
        <v>785</v>
      </c>
      <c r="B72" s="13" t="str">
        <f>IF(N('C1_Relawan'!C18)=0,IF('C1_Relawan'!C18="","",'C1_Relawan'!B18),'C1_Relawan'!B18)</f>
        <v>18.71.XX.XXXX-20261005-RL-013</v>
      </c>
      <c r="C72" s="13" t="str">
        <f>IF('C1_Relawan'!J18="","",'C1_Relawan'!J18)</f>
        <v>BYR-RL-013</v>
      </c>
      <c r="D72" s="26">
        <f>IF('C1_Relawan'!E18="","",'C1_Relawan'!E18)</f>
        <v>46300</v>
      </c>
      <c r="E72" s="19">
        <f>N('C1_Relawan'!H18)</f>
        <v>90000</v>
      </c>
      <c r="F72" s="46" t="str">
        <f>IF('C1_Relawan'!K18="","",'C1_Relawan'!K18)</f>
        <v>https://cloud-sipgn.contoh/lpdh/relawan/BYR-RL-013.pdf</v>
      </c>
      <c r="G72" s="14" t="str">
        <f t="shared" si="1"/>
        <v>Unik</v>
      </c>
      <c r="H72" s="14" t="str">
        <f>IF(C72="","",IF(D72="","TANGGAL KOSONG",IF(AND(D72&gt;=Identitas!$B$32,D72&lt;=Identitas!$B$33),"Sesuai","DI LUAR PERIODE")))</f>
        <v>Sesuai</v>
      </c>
    </row>
    <row r="73" ht="15.75" customHeight="1">
      <c r="A73" s="6" t="s">
        <v>785</v>
      </c>
      <c r="B73" s="13" t="str">
        <f>IF(N('C1_Relawan'!C19)=0,IF('C1_Relawan'!C19="","",'C1_Relawan'!B19),'C1_Relawan'!B19)</f>
        <v>18.71.XX.XXXX-20261005-RL-014</v>
      </c>
      <c r="C73" s="13" t="str">
        <f>IF('C1_Relawan'!J19="","",'C1_Relawan'!J19)</f>
        <v>BYR-RL-014</v>
      </c>
      <c r="D73" s="26">
        <f>IF('C1_Relawan'!E19="","",'C1_Relawan'!E19)</f>
        <v>46300</v>
      </c>
      <c r="E73" s="19">
        <f>N('C1_Relawan'!H19)</f>
        <v>90000</v>
      </c>
      <c r="F73" s="46" t="str">
        <f>IF('C1_Relawan'!K19="","",'C1_Relawan'!K19)</f>
        <v>https://cloud-sipgn.contoh/lpdh/relawan/BYR-RL-014.pdf</v>
      </c>
      <c r="G73" s="14" t="str">
        <f t="shared" si="1"/>
        <v>Unik</v>
      </c>
      <c r="H73" s="14" t="str">
        <f>IF(C73="","",IF(D73="","TANGGAL KOSONG",IF(AND(D73&gt;=Identitas!$B$32,D73&lt;=Identitas!$B$33),"Sesuai","DI LUAR PERIODE")))</f>
        <v>Sesuai</v>
      </c>
    </row>
    <row r="74" ht="15.75" customHeight="1">
      <c r="A74" s="6" t="s">
        <v>785</v>
      </c>
      <c r="B74" s="13" t="str">
        <f>IF(N('C1_Relawan'!C20)=0,IF('C1_Relawan'!C20="","",'C1_Relawan'!B20),'C1_Relawan'!B20)</f>
        <v>18.71.XX.XXXX-20261005-RL-015</v>
      </c>
      <c r="C74" s="13" t="str">
        <f>IF('C1_Relawan'!J20="","",'C1_Relawan'!J20)</f>
        <v>BYR-RL-015</v>
      </c>
      <c r="D74" s="26">
        <f>IF('C1_Relawan'!E20="","",'C1_Relawan'!E20)</f>
        <v>46300</v>
      </c>
      <c r="E74" s="19">
        <f>N('C1_Relawan'!H20)</f>
        <v>90000</v>
      </c>
      <c r="F74" s="46" t="str">
        <f>IF('C1_Relawan'!K20="","",'C1_Relawan'!K20)</f>
        <v>https://cloud-sipgn.contoh/lpdh/relawan/BYR-RL-015.pdf</v>
      </c>
      <c r="G74" s="14" t="str">
        <f t="shared" si="1"/>
        <v>Unik</v>
      </c>
      <c r="H74" s="14" t="str">
        <f>IF(C74="","",IF(D74="","TANGGAL KOSONG",IF(AND(D74&gt;=Identitas!$B$32,D74&lt;=Identitas!$B$33),"Sesuai","DI LUAR PERIODE")))</f>
        <v>Sesuai</v>
      </c>
    </row>
    <row r="75" ht="15.75" customHeight="1">
      <c r="A75" s="6" t="s">
        <v>785</v>
      </c>
      <c r="B75" s="13" t="str">
        <f>IF(N('C1_Relawan'!C21)=0,IF('C1_Relawan'!C21="","",'C1_Relawan'!B21),'C1_Relawan'!B21)</f>
        <v>18.71.XX.XXXX-20261005-RL-016</v>
      </c>
      <c r="C75" s="13" t="str">
        <f>IF('C1_Relawan'!J21="","",'C1_Relawan'!J21)</f>
        <v>BYR-RL-016</v>
      </c>
      <c r="D75" s="26">
        <f>IF('C1_Relawan'!E21="","",'C1_Relawan'!E21)</f>
        <v>46300</v>
      </c>
      <c r="E75" s="19">
        <f>N('C1_Relawan'!H21)</f>
        <v>90000</v>
      </c>
      <c r="F75" s="46" t="str">
        <f>IF('C1_Relawan'!K21="","",'C1_Relawan'!K21)</f>
        <v>https://cloud-sipgn.contoh/lpdh/relawan/BYR-RL-016.pdf</v>
      </c>
      <c r="G75" s="14" t="str">
        <f t="shared" si="1"/>
        <v>Unik</v>
      </c>
      <c r="H75" s="14" t="str">
        <f>IF(C75="","",IF(D75="","TANGGAL KOSONG",IF(AND(D75&gt;=Identitas!$B$32,D75&lt;=Identitas!$B$33),"Sesuai","DI LUAR PERIODE")))</f>
        <v>Sesuai</v>
      </c>
    </row>
    <row r="76" ht="15.75" customHeight="1">
      <c r="A76" s="6" t="s">
        <v>785</v>
      </c>
      <c r="B76" s="13" t="str">
        <f>IF(N('C1_Relawan'!C22)=0,IF('C1_Relawan'!C22="","",'C1_Relawan'!B22),'C1_Relawan'!B22)</f>
        <v>18.71.XX.XXXX-20261005-RL-017</v>
      </c>
      <c r="C76" s="13" t="str">
        <f>IF('C1_Relawan'!J22="","",'C1_Relawan'!J22)</f>
        <v>BYR-RL-017</v>
      </c>
      <c r="D76" s="26">
        <f>IF('C1_Relawan'!E22="","",'C1_Relawan'!E22)</f>
        <v>46300</v>
      </c>
      <c r="E76" s="19">
        <f>N('C1_Relawan'!H22)</f>
        <v>90000</v>
      </c>
      <c r="F76" s="46" t="str">
        <f>IF('C1_Relawan'!K22="","",'C1_Relawan'!K22)</f>
        <v>https://cloud-sipgn.contoh/lpdh/relawan/BYR-RL-017.pdf</v>
      </c>
      <c r="G76" s="14" t="str">
        <f t="shared" si="1"/>
        <v>Unik</v>
      </c>
      <c r="H76" s="14" t="str">
        <f>IF(C76="","",IF(D76="","TANGGAL KOSONG",IF(AND(D76&gt;=Identitas!$B$32,D76&lt;=Identitas!$B$33),"Sesuai","DI LUAR PERIODE")))</f>
        <v>Sesuai</v>
      </c>
    </row>
    <row r="77" ht="15.75" customHeight="1">
      <c r="A77" s="6" t="s">
        <v>785</v>
      </c>
      <c r="B77" s="13" t="str">
        <f>IF(N('C1_Relawan'!C23)=0,IF('C1_Relawan'!C23="","",'C1_Relawan'!B23),'C1_Relawan'!B23)</f>
        <v>18.71.XX.XXXX-20261005-RL-018</v>
      </c>
      <c r="C77" s="13" t="str">
        <f>IF('C1_Relawan'!J23="","",'C1_Relawan'!J23)</f>
        <v>BYR-RL-018</v>
      </c>
      <c r="D77" s="26">
        <f>IF('C1_Relawan'!E23="","",'C1_Relawan'!E23)</f>
        <v>46300</v>
      </c>
      <c r="E77" s="19">
        <f>N('C1_Relawan'!H23)</f>
        <v>90000</v>
      </c>
      <c r="F77" s="46" t="str">
        <f>IF('C1_Relawan'!K23="","",'C1_Relawan'!K23)</f>
        <v>https://cloud-sipgn.contoh/lpdh/relawan/BYR-RL-018.pdf</v>
      </c>
      <c r="G77" s="14" t="str">
        <f t="shared" si="1"/>
        <v>Unik</v>
      </c>
      <c r="H77" s="14" t="str">
        <f>IF(C77="","",IF(D77="","TANGGAL KOSONG",IF(AND(D77&gt;=Identitas!$B$32,D77&lt;=Identitas!$B$33),"Sesuai","DI LUAR PERIODE")))</f>
        <v>Sesuai</v>
      </c>
    </row>
    <row r="78" ht="15.75" customHeight="1">
      <c r="A78" s="6" t="s">
        <v>785</v>
      </c>
      <c r="B78" s="13" t="str">
        <f>IF(N('C1_Relawan'!C24)=0,IF('C1_Relawan'!C24="","",'C1_Relawan'!B24),'C1_Relawan'!B24)</f>
        <v>18.71.XX.XXXX-20261005-RL-019</v>
      </c>
      <c r="C78" s="13" t="str">
        <f>IF('C1_Relawan'!J24="","",'C1_Relawan'!J24)</f>
        <v>BYR-RL-019</v>
      </c>
      <c r="D78" s="26">
        <f>IF('C1_Relawan'!E24="","",'C1_Relawan'!E24)</f>
        <v>46300</v>
      </c>
      <c r="E78" s="19">
        <f>N('C1_Relawan'!H24)</f>
        <v>90000</v>
      </c>
      <c r="F78" s="46" t="str">
        <f>IF('C1_Relawan'!K24="","",'C1_Relawan'!K24)</f>
        <v>https://cloud-sipgn.contoh/lpdh/relawan/BYR-RL-019.pdf</v>
      </c>
      <c r="G78" s="14" t="str">
        <f t="shared" si="1"/>
        <v>Unik</v>
      </c>
      <c r="H78" s="14" t="str">
        <f>IF(C78="","",IF(D78="","TANGGAL KOSONG",IF(AND(D78&gt;=Identitas!$B$32,D78&lt;=Identitas!$B$33),"Sesuai","DI LUAR PERIODE")))</f>
        <v>Sesuai</v>
      </c>
    </row>
    <row r="79" ht="15.75" customHeight="1">
      <c r="A79" s="6" t="s">
        <v>785</v>
      </c>
      <c r="B79" s="13" t="str">
        <f>IF(N('C1_Relawan'!C25)=0,IF('C1_Relawan'!C25="","",'C1_Relawan'!B25),'C1_Relawan'!B25)</f>
        <v>18.71.XX.XXXX-20261005-RL-020</v>
      </c>
      <c r="C79" s="13" t="str">
        <f>IF('C1_Relawan'!J25="","",'C1_Relawan'!J25)</f>
        <v>BYR-RL-020</v>
      </c>
      <c r="D79" s="26">
        <f>IF('C1_Relawan'!E25="","",'C1_Relawan'!E25)</f>
        <v>46300</v>
      </c>
      <c r="E79" s="19">
        <f>N('C1_Relawan'!H25)</f>
        <v>90000</v>
      </c>
      <c r="F79" s="46" t="str">
        <f>IF('C1_Relawan'!K25="","",'C1_Relawan'!K25)</f>
        <v>https://cloud-sipgn.contoh/lpdh/relawan/BYR-RL-020.pdf</v>
      </c>
      <c r="G79" s="14" t="str">
        <f t="shared" si="1"/>
        <v>Unik</v>
      </c>
      <c r="H79" s="14" t="str">
        <f>IF(C79="","",IF(D79="","TANGGAL KOSONG",IF(AND(D79&gt;=Identitas!$B$32,D79&lt;=Identitas!$B$33),"Sesuai","DI LUAR PERIODE")))</f>
        <v>Sesuai</v>
      </c>
    </row>
    <row r="80" ht="15.75" customHeight="1">
      <c r="A80" s="6" t="s">
        <v>785</v>
      </c>
      <c r="B80" s="13" t="str">
        <f>IF(N('C1_Relawan'!C26)=0,IF('C1_Relawan'!C26="","",'C1_Relawan'!B26),'C1_Relawan'!B26)</f>
        <v>18.71.XX.XXXX-20261005-RL-021</v>
      </c>
      <c r="C80" s="13" t="str">
        <f>IF('C1_Relawan'!J26="","",'C1_Relawan'!J26)</f>
        <v>BYR-RL-021</v>
      </c>
      <c r="D80" s="26">
        <f>IF('C1_Relawan'!E26="","",'C1_Relawan'!E26)</f>
        <v>46300</v>
      </c>
      <c r="E80" s="19">
        <f>N('C1_Relawan'!H26)</f>
        <v>90000</v>
      </c>
      <c r="F80" s="46" t="str">
        <f>IF('C1_Relawan'!K26="","",'C1_Relawan'!K26)</f>
        <v>https://cloud-sipgn.contoh/lpdh/relawan/BYR-RL-021.pdf</v>
      </c>
      <c r="G80" s="14" t="str">
        <f t="shared" si="1"/>
        <v>Unik</v>
      </c>
      <c r="H80" s="14" t="str">
        <f>IF(C80="","",IF(D80="","TANGGAL KOSONG",IF(AND(D80&gt;=Identitas!$B$32,D80&lt;=Identitas!$B$33),"Sesuai","DI LUAR PERIODE")))</f>
        <v>Sesuai</v>
      </c>
    </row>
    <row r="81" ht="15.75" customHeight="1">
      <c r="A81" s="6" t="s">
        <v>785</v>
      </c>
      <c r="B81" s="13" t="str">
        <f>IF(N('C1_Relawan'!C27)=0,IF('C1_Relawan'!C27="","",'C1_Relawan'!B27),'C1_Relawan'!B27)</f>
        <v>18.71.XX.XXXX-20261005-RL-022</v>
      </c>
      <c r="C81" s="13" t="str">
        <f>IF('C1_Relawan'!J27="","",'C1_Relawan'!J27)</f>
        <v>BYR-RL-022</v>
      </c>
      <c r="D81" s="26">
        <f>IF('C1_Relawan'!E27="","",'C1_Relawan'!E27)</f>
        <v>46300</v>
      </c>
      <c r="E81" s="19">
        <f>N('C1_Relawan'!H27)</f>
        <v>90000</v>
      </c>
      <c r="F81" s="46" t="str">
        <f>IF('C1_Relawan'!K27="","",'C1_Relawan'!K27)</f>
        <v>https://cloud-sipgn.contoh/lpdh/relawan/BYR-RL-022.pdf</v>
      </c>
      <c r="G81" s="14" t="str">
        <f t="shared" si="1"/>
        <v>Unik</v>
      </c>
      <c r="H81" s="14" t="str">
        <f>IF(C81="","",IF(D81="","TANGGAL KOSONG",IF(AND(D81&gt;=Identitas!$B$32,D81&lt;=Identitas!$B$33),"Sesuai","DI LUAR PERIODE")))</f>
        <v>Sesuai</v>
      </c>
    </row>
    <row r="82" ht="15.75" customHeight="1">
      <c r="A82" s="6" t="s">
        <v>785</v>
      </c>
      <c r="B82" s="13" t="str">
        <f>IF(N('C1_Relawan'!C28)=0,IF('C1_Relawan'!C28="","",'C1_Relawan'!B28),'C1_Relawan'!B28)</f>
        <v>18.71.XX.XXXX-20261005-RL-023</v>
      </c>
      <c r="C82" s="13" t="str">
        <f>IF('C1_Relawan'!J28="","",'C1_Relawan'!J28)</f>
        <v>BYR-RL-023</v>
      </c>
      <c r="D82" s="26">
        <f>IF('C1_Relawan'!E28="","",'C1_Relawan'!E28)</f>
        <v>46300</v>
      </c>
      <c r="E82" s="19">
        <f>N('C1_Relawan'!H28)</f>
        <v>90000</v>
      </c>
      <c r="F82" s="46" t="str">
        <f>IF('C1_Relawan'!K28="","",'C1_Relawan'!K28)</f>
        <v>https://cloud-sipgn.contoh/lpdh/relawan/BYR-RL-023.pdf</v>
      </c>
      <c r="G82" s="14" t="str">
        <f t="shared" si="1"/>
        <v>Unik</v>
      </c>
      <c r="H82" s="14" t="str">
        <f>IF(C82="","",IF(D82="","TANGGAL KOSONG",IF(AND(D82&gt;=Identitas!$B$32,D82&lt;=Identitas!$B$33),"Sesuai","DI LUAR PERIODE")))</f>
        <v>Sesuai</v>
      </c>
    </row>
    <row r="83" ht="15.75" customHeight="1">
      <c r="A83" s="6" t="s">
        <v>785</v>
      </c>
      <c r="B83" s="13" t="str">
        <f>IF(N('C1_Relawan'!C29)=0,IF('C1_Relawan'!C29="","",'C1_Relawan'!B29),'C1_Relawan'!B29)</f>
        <v>18.71.XX.XXXX-20261005-RL-024</v>
      </c>
      <c r="C83" s="13" t="str">
        <f>IF('C1_Relawan'!J29="","",'C1_Relawan'!J29)</f>
        <v>BYR-RL-024</v>
      </c>
      <c r="D83" s="26">
        <f>IF('C1_Relawan'!E29="","",'C1_Relawan'!E29)</f>
        <v>46300</v>
      </c>
      <c r="E83" s="19">
        <f>N('C1_Relawan'!H29)</f>
        <v>90000</v>
      </c>
      <c r="F83" s="46" t="str">
        <f>IF('C1_Relawan'!K29="","",'C1_Relawan'!K29)</f>
        <v>https://cloud-sipgn.contoh/lpdh/relawan/BYR-RL-024.pdf</v>
      </c>
      <c r="G83" s="14" t="str">
        <f t="shared" si="1"/>
        <v>Unik</v>
      </c>
      <c r="H83" s="14" t="str">
        <f>IF(C83="","",IF(D83="","TANGGAL KOSONG",IF(AND(D83&gt;=Identitas!$B$32,D83&lt;=Identitas!$B$33),"Sesuai","DI LUAR PERIODE")))</f>
        <v>Sesuai</v>
      </c>
    </row>
    <row r="84" ht="15.75" customHeight="1">
      <c r="A84" s="6" t="s">
        <v>785</v>
      </c>
      <c r="B84" s="13" t="str">
        <f>IF(N('C1_Relawan'!C30)=0,IF('C1_Relawan'!C30="","",'C1_Relawan'!B30),'C1_Relawan'!B30)</f>
        <v>18.71.XX.XXXX-20261005-RL-025</v>
      </c>
      <c r="C84" s="13" t="str">
        <f>IF('C1_Relawan'!J30="","",'C1_Relawan'!J30)</f>
        <v>BYR-RL-025</v>
      </c>
      <c r="D84" s="26">
        <f>IF('C1_Relawan'!E30="","",'C1_Relawan'!E30)</f>
        <v>46300</v>
      </c>
      <c r="E84" s="19">
        <f>N('C1_Relawan'!H30)</f>
        <v>90000</v>
      </c>
      <c r="F84" s="46" t="str">
        <f>IF('C1_Relawan'!K30="","",'C1_Relawan'!K30)</f>
        <v>https://cloud-sipgn.contoh/lpdh/relawan/BYR-RL-025.pdf</v>
      </c>
      <c r="G84" s="14" t="str">
        <f t="shared" si="1"/>
        <v>Unik</v>
      </c>
      <c r="H84" s="14" t="str">
        <f>IF(C84="","",IF(D84="","TANGGAL KOSONG",IF(AND(D84&gt;=Identitas!$B$32,D84&lt;=Identitas!$B$33),"Sesuai","DI LUAR PERIODE")))</f>
        <v>Sesuai</v>
      </c>
    </row>
    <row r="85" ht="15.75" customHeight="1">
      <c r="A85" s="6" t="s">
        <v>785</v>
      </c>
      <c r="B85" s="13" t="str">
        <f>IF(N('C1_Relawan'!C31)=0,IF('C1_Relawan'!C31="","",'C1_Relawan'!B31),'C1_Relawan'!B31)</f>
        <v>18.71.XX.XXXX-20261005-RL-026</v>
      </c>
      <c r="C85" s="13" t="str">
        <f>IF('C1_Relawan'!J31="","",'C1_Relawan'!J31)</f>
        <v>BYR-RL-026</v>
      </c>
      <c r="D85" s="26">
        <f>IF('C1_Relawan'!E31="","",'C1_Relawan'!E31)</f>
        <v>46300</v>
      </c>
      <c r="E85" s="19">
        <f>N('C1_Relawan'!H31)</f>
        <v>90000</v>
      </c>
      <c r="F85" s="46" t="str">
        <f>IF('C1_Relawan'!K31="","",'C1_Relawan'!K31)</f>
        <v>https://cloud-sipgn.contoh/lpdh/relawan/BYR-RL-026.pdf</v>
      </c>
      <c r="G85" s="14" t="str">
        <f t="shared" si="1"/>
        <v>Unik</v>
      </c>
      <c r="H85" s="14" t="str">
        <f>IF(C85="","",IF(D85="","TANGGAL KOSONG",IF(AND(D85&gt;=Identitas!$B$32,D85&lt;=Identitas!$B$33),"Sesuai","DI LUAR PERIODE")))</f>
        <v>Sesuai</v>
      </c>
    </row>
    <row r="86" ht="15.75" customHeight="1">
      <c r="A86" s="6" t="s">
        <v>785</v>
      </c>
      <c r="B86" s="13" t="str">
        <f>IF(N('C1_Relawan'!C32)=0,IF('C1_Relawan'!C32="","",'C1_Relawan'!B32),'C1_Relawan'!B32)</f>
        <v>18.71.XX.XXXX-20261005-RL-027</v>
      </c>
      <c r="C86" s="13" t="str">
        <f>IF('C1_Relawan'!J32="","",'C1_Relawan'!J32)</f>
        <v>BYR-RL-027</v>
      </c>
      <c r="D86" s="26">
        <f>IF('C1_Relawan'!E32="","",'C1_Relawan'!E32)</f>
        <v>46300</v>
      </c>
      <c r="E86" s="19">
        <f>N('C1_Relawan'!H32)</f>
        <v>90000</v>
      </c>
      <c r="F86" s="46" t="str">
        <f>IF('C1_Relawan'!K32="","",'C1_Relawan'!K32)</f>
        <v>https://cloud-sipgn.contoh/lpdh/relawan/BYR-RL-027.pdf</v>
      </c>
      <c r="G86" s="14" t="str">
        <f t="shared" si="1"/>
        <v>Unik</v>
      </c>
      <c r="H86" s="14" t="str">
        <f>IF(C86="","",IF(D86="","TANGGAL KOSONG",IF(AND(D86&gt;=Identitas!$B$32,D86&lt;=Identitas!$B$33),"Sesuai","DI LUAR PERIODE")))</f>
        <v>Sesuai</v>
      </c>
    </row>
    <row r="87" ht="15.75" customHeight="1">
      <c r="A87" s="6" t="s">
        <v>785</v>
      </c>
      <c r="B87" s="13" t="str">
        <f>IF(N('C1_Relawan'!C33)=0,IF('C1_Relawan'!C33="","",'C1_Relawan'!B33),'C1_Relawan'!B33)</f>
        <v>18.71.XX.XXXX-20261005-RL-028</v>
      </c>
      <c r="C87" s="13" t="str">
        <f>IF('C1_Relawan'!J33="","",'C1_Relawan'!J33)</f>
        <v>BYR-RL-028</v>
      </c>
      <c r="D87" s="26">
        <f>IF('C1_Relawan'!E33="","",'C1_Relawan'!E33)</f>
        <v>46300</v>
      </c>
      <c r="E87" s="19">
        <f>N('C1_Relawan'!H33)</f>
        <v>90000</v>
      </c>
      <c r="F87" s="46" t="str">
        <f>IF('C1_Relawan'!K33="","",'C1_Relawan'!K33)</f>
        <v>https://cloud-sipgn.contoh/lpdh/relawan/BYR-RL-028.pdf</v>
      </c>
      <c r="G87" s="14" t="str">
        <f t="shared" si="1"/>
        <v>Unik</v>
      </c>
      <c r="H87" s="14" t="str">
        <f>IF(C87="","",IF(D87="","TANGGAL KOSONG",IF(AND(D87&gt;=Identitas!$B$32,D87&lt;=Identitas!$B$33),"Sesuai","DI LUAR PERIODE")))</f>
        <v>Sesuai</v>
      </c>
    </row>
    <row r="88" ht="15.75" customHeight="1">
      <c r="A88" s="6" t="s">
        <v>785</v>
      </c>
      <c r="B88" s="13" t="str">
        <f>IF(N('C1_Relawan'!C34)=0,IF('C1_Relawan'!C34="","",'C1_Relawan'!B34),'C1_Relawan'!B34)</f>
        <v>18.71.XX.XXXX-20261005-RL-029</v>
      </c>
      <c r="C88" s="13" t="str">
        <f>IF('C1_Relawan'!J34="","",'C1_Relawan'!J34)</f>
        <v>BYR-RL-029</v>
      </c>
      <c r="D88" s="26">
        <f>IF('C1_Relawan'!E34="","",'C1_Relawan'!E34)</f>
        <v>46300</v>
      </c>
      <c r="E88" s="19">
        <f>N('C1_Relawan'!H34)</f>
        <v>90000</v>
      </c>
      <c r="F88" s="46" t="str">
        <f>IF('C1_Relawan'!K34="","",'C1_Relawan'!K34)</f>
        <v>https://cloud-sipgn.contoh/lpdh/relawan/BYR-RL-029.pdf</v>
      </c>
      <c r="G88" s="14" t="str">
        <f t="shared" si="1"/>
        <v>Unik</v>
      </c>
      <c r="H88" s="14" t="str">
        <f>IF(C88="","",IF(D88="","TANGGAL KOSONG",IF(AND(D88&gt;=Identitas!$B$32,D88&lt;=Identitas!$B$33),"Sesuai","DI LUAR PERIODE")))</f>
        <v>Sesuai</v>
      </c>
    </row>
    <row r="89" ht="15.75" customHeight="1">
      <c r="A89" s="6" t="s">
        <v>785</v>
      </c>
      <c r="B89" s="13" t="str">
        <f>IF(N('C1_Relawan'!C35)=0,IF('C1_Relawan'!C35="","",'C1_Relawan'!B35),'C1_Relawan'!B35)</f>
        <v>18.71.XX.XXXX-20261005-RL-030</v>
      </c>
      <c r="C89" s="13" t="str">
        <f>IF('C1_Relawan'!J35="","",'C1_Relawan'!J35)</f>
        <v>BYR-RL-030</v>
      </c>
      <c r="D89" s="26">
        <f>IF('C1_Relawan'!E35="","",'C1_Relawan'!E35)</f>
        <v>46300</v>
      </c>
      <c r="E89" s="19">
        <f>N('C1_Relawan'!H35)</f>
        <v>90000</v>
      </c>
      <c r="F89" s="46" t="str">
        <f>IF('C1_Relawan'!K35="","",'C1_Relawan'!K35)</f>
        <v>https://cloud-sipgn.contoh/lpdh/relawan/BYR-RL-030.pdf</v>
      </c>
      <c r="G89" s="14" t="str">
        <f t="shared" si="1"/>
        <v>Unik</v>
      </c>
      <c r="H89" s="14" t="str">
        <f>IF(C89="","",IF(D89="","TANGGAL KOSONG",IF(AND(D89&gt;=Identitas!$B$32,D89&lt;=Identitas!$B$33),"Sesuai","DI LUAR PERIODE")))</f>
        <v>Sesuai</v>
      </c>
    </row>
    <row r="90" ht="15.75" customHeight="1">
      <c r="A90" s="6" t="s">
        <v>785</v>
      </c>
      <c r="B90" s="13" t="str">
        <f>IF(N('C1_Relawan'!C36)=0,IF('C1_Relawan'!C36="","",'C1_Relawan'!B36),'C1_Relawan'!B36)</f>
        <v>18.71.XX.XXXX-20261005-RL-031</v>
      </c>
      <c r="C90" s="13" t="str">
        <f>IF('C1_Relawan'!J36="","",'C1_Relawan'!J36)</f>
        <v>BYR-RL-031</v>
      </c>
      <c r="D90" s="26">
        <f>IF('C1_Relawan'!E36="","",'C1_Relawan'!E36)</f>
        <v>46300</v>
      </c>
      <c r="E90" s="19">
        <f>N('C1_Relawan'!H36)</f>
        <v>90000</v>
      </c>
      <c r="F90" s="46" t="str">
        <f>IF('C1_Relawan'!K36="","",'C1_Relawan'!K36)</f>
        <v>https://cloud-sipgn.contoh/lpdh/relawan/BYR-RL-031.pdf</v>
      </c>
      <c r="G90" s="14" t="str">
        <f t="shared" si="1"/>
        <v>Unik</v>
      </c>
      <c r="H90" s="14" t="str">
        <f>IF(C90="","",IF(D90="","TANGGAL KOSONG",IF(AND(D90&gt;=Identitas!$B$32,D90&lt;=Identitas!$B$33),"Sesuai","DI LUAR PERIODE")))</f>
        <v>Sesuai</v>
      </c>
    </row>
    <row r="91" ht="15.75" customHeight="1">
      <c r="A91" s="6" t="s">
        <v>785</v>
      </c>
      <c r="B91" s="13" t="str">
        <f>IF(N('C1_Relawan'!C37)=0,IF('C1_Relawan'!C37="","",'C1_Relawan'!B37),'C1_Relawan'!B37)</f>
        <v>18.71.XX.XXXX-20261005-RL-032</v>
      </c>
      <c r="C91" s="13" t="str">
        <f>IF('C1_Relawan'!J37="","",'C1_Relawan'!J37)</f>
        <v>BYR-RL-032</v>
      </c>
      <c r="D91" s="26">
        <f>IF('C1_Relawan'!E37="","",'C1_Relawan'!E37)</f>
        <v>46300</v>
      </c>
      <c r="E91" s="19">
        <f>N('C1_Relawan'!H37)</f>
        <v>90000</v>
      </c>
      <c r="F91" s="46" t="str">
        <f>IF('C1_Relawan'!K37="","",'C1_Relawan'!K37)</f>
        <v>https://cloud-sipgn.contoh/lpdh/relawan/BYR-RL-032.pdf</v>
      </c>
      <c r="G91" s="14" t="str">
        <f t="shared" si="1"/>
        <v>Unik</v>
      </c>
      <c r="H91" s="14" t="str">
        <f>IF(C91="","",IF(D91="","TANGGAL KOSONG",IF(AND(D91&gt;=Identitas!$B$32,D91&lt;=Identitas!$B$33),"Sesuai","DI LUAR PERIODE")))</f>
        <v>Sesuai</v>
      </c>
    </row>
    <row r="92" ht="15.75" customHeight="1">
      <c r="A92" s="6" t="s">
        <v>785</v>
      </c>
      <c r="B92" s="13" t="str">
        <f>IF(N('C1_Relawan'!C38)=0,IF('C1_Relawan'!C38="","",'C1_Relawan'!B38),'C1_Relawan'!B38)</f>
        <v>18.71.XX.XXXX-20261005-RL-033</v>
      </c>
      <c r="C92" s="13" t="str">
        <f>IF('C1_Relawan'!J38="","",'C1_Relawan'!J38)</f>
        <v>BYR-RL-033</v>
      </c>
      <c r="D92" s="26">
        <f>IF('C1_Relawan'!E38="","",'C1_Relawan'!E38)</f>
        <v>46300</v>
      </c>
      <c r="E92" s="19">
        <f>N('C1_Relawan'!H38)</f>
        <v>90000</v>
      </c>
      <c r="F92" s="46" t="str">
        <f>IF('C1_Relawan'!K38="","",'C1_Relawan'!K38)</f>
        <v>https://cloud-sipgn.contoh/lpdh/relawan/BYR-RL-033.pdf</v>
      </c>
      <c r="G92" s="14" t="str">
        <f t="shared" si="1"/>
        <v>Unik</v>
      </c>
      <c r="H92" s="14" t="str">
        <f>IF(C92="","",IF(D92="","TANGGAL KOSONG",IF(AND(D92&gt;=Identitas!$B$32,D92&lt;=Identitas!$B$33),"Sesuai","DI LUAR PERIODE")))</f>
        <v>Sesuai</v>
      </c>
    </row>
    <row r="93" ht="15.75" customHeight="1">
      <c r="A93" s="6" t="s">
        <v>785</v>
      </c>
      <c r="B93" s="13" t="str">
        <f>IF(N('C1_Relawan'!C39)=0,IF('C1_Relawan'!C39="","",'C1_Relawan'!B39),'C1_Relawan'!B39)</f>
        <v>18.71.XX.XXXX-20261005-RL-034</v>
      </c>
      <c r="C93" s="13" t="str">
        <f>IF('C1_Relawan'!J39="","",'C1_Relawan'!J39)</f>
        <v>BYR-RL-034</v>
      </c>
      <c r="D93" s="26">
        <f>IF('C1_Relawan'!E39="","",'C1_Relawan'!E39)</f>
        <v>46300</v>
      </c>
      <c r="E93" s="19">
        <f>N('C1_Relawan'!H39)</f>
        <v>90000</v>
      </c>
      <c r="F93" s="46" t="str">
        <f>IF('C1_Relawan'!K39="","",'C1_Relawan'!K39)</f>
        <v>https://cloud-sipgn.contoh/lpdh/relawan/BYR-RL-034.pdf</v>
      </c>
      <c r="G93" s="14" t="str">
        <f t="shared" si="1"/>
        <v>Unik</v>
      </c>
      <c r="H93" s="14" t="str">
        <f>IF(C93="","",IF(D93="","TANGGAL KOSONG",IF(AND(D93&gt;=Identitas!$B$32,D93&lt;=Identitas!$B$33),"Sesuai","DI LUAR PERIODE")))</f>
        <v>Sesuai</v>
      </c>
    </row>
    <row r="94" ht="15.75" customHeight="1">
      <c r="A94" s="6" t="s">
        <v>785</v>
      </c>
      <c r="B94" s="13" t="str">
        <f>IF(N('C1_Relawan'!C40)=0,IF('C1_Relawan'!C40="","",'C1_Relawan'!B40),'C1_Relawan'!B40)</f>
        <v>18.71.XX.XXXX-20261005-RL-035</v>
      </c>
      <c r="C94" s="13" t="str">
        <f>IF('C1_Relawan'!J40="","",'C1_Relawan'!J40)</f>
        <v>BYR-RL-035</v>
      </c>
      <c r="D94" s="26">
        <f>IF('C1_Relawan'!E40="","",'C1_Relawan'!E40)</f>
        <v>46300</v>
      </c>
      <c r="E94" s="19">
        <f>N('C1_Relawan'!H40)</f>
        <v>90000</v>
      </c>
      <c r="F94" s="46" t="str">
        <f>IF('C1_Relawan'!K40="","",'C1_Relawan'!K40)</f>
        <v>https://cloud-sipgn.contoh/lpdh/relawan/BYR-RL-035.pdf</v>
      </c>
      <c r="G94" s="14" t="str">
        <f t="shared" si="1"/>
        <v>Unik</v>
      </c>
      <c r="H94" s="14" t="str">
        <f>IF(C94="","",IF(D94="","TANGGAL KOSONG",IF(AND(D94&gt;=Identitas!$B$32,D94&lt;=Identitas!$B$33),"Sesuai","DI LUAR PERIODE")))</f>
        <v>Sesuai</v>
      </c>
    </row>
    <row r="95" ht="15.75" customHeight="1">
      <c r="A95" s="6" t="s">
        <v>785</v>
      </c>
      <c r="B95" s="13" t="str">
        <f>IF(N('C1_Relawan'!C41)=0,IF('C1_Relawan'!C41="","",'C1_Relawan'!B41),'C1_Relawan'!B41)</f>
        <v>18.71.XX.XXXX-20261005-RL-036</v>
      </c>
      <c r="C95" s="13" t="str">
        <f>IF('C1_Relawan'!J41="","",'C1_Relawan'!J41)</f>
        <v>BYR-RL-036</v>
      </c>
      <c r="D95" s="26">
        <f>IF('C1_Relawan'!E41="","",'C1_Relawan'!E41)</f>
        <v>46300</v>
      </c>
      <c r="E95" s="19">
        <f>N('C1_Relawan'!H41)</f>
        <v>90000</v>
      </c>
      <c r="F95" s="46" t="str">
        <f>IF('C1_Relawan'!K41="","",'C1_Relawan'!K41)</f>
        <v>https://cloud-sipgn.contoh/lpdh/relawan/BYR-RL-036.pdf</v>
      </c>
      <c r="G95" s="14" t="str">
        <f t="shared" si="1"/>
        <v>Unik</v>
      </c>
      <c r="H95" s="14" t="str">
        <f>IF(C95="","",IF(D95="","TANGGAL KOSONG",IF(AND(D95&gt;=Identitas!$B$32,D95&lt;=Identitas!$B$33),"Sesuai","DI LUAR PERIODE")))</f>
        <v>Sesuai</v>
      </c>
    </row>
    <row r="96" ht="15.75" customHeight="1">
      <c r="A96" s="6" t="s">
        <v>785</v>
      </c>
      <c r="B96" s="13" t="str">
        <f>IF(N('C1_Relawan'!C42)=0,IF('C1_Relawan'!C42="","",'C1_Relawan'!B42),'C1_Relawan'!B42)</f>
        <v>18.71.XX.XXXX-20261005-RL-037</v>
      </c>
      <c r="C96" s="13" t="str">
        <f>IF('C1_Relawan'!J42="","",'C1_Relawan'!J42)</f>
        <v>BYR-RL-037</v>
      </c>
      <c r="D96" s="26">
        <f>IF('C1_Relawan'!E42="","",'C1_Relawan'!E42)</f>
        <v>46300</v>
      </c>
      <c r="E96" s="19">
        <f>N('C1_Relawan'!H42)</f>
        <v>90000</v>
      </c>
      <c r="F96" s="46" t="str">
        <f>IF('C1_Relawan'!K42="","",'C1_Relawan'!K42)</f>
        <v>https://cloud-sipgn.contoh/lpdh/relawan/BYR-RL-037.pdf</v>
      </c>
      <c r="G96" s="14" t="str">
        <f t="shared" si="1"/>
        <v>Unik</v>
      </c>
      <c r="H96" s="14" t="str">
        <f>IF(C96="","",IF(D96="","TANGGAL KOSONG",IF(AND(D96&gt;=Identitas!$B$32,D96&lt;=Identitas!$B$33),"Sesuai","DI LUAR PERIODE")))</f>
        <v>Sesuai</v>
      </c>
    </row>
    <row r="97" ht="15.75" customHeight="1">
      <c r="A97" s="6" t="s">
        <v>785</v>
      </c>
      <c r="B97" s="13" t="str">
        <f>IF(N('C1_Relawan'!C43)=0,IF('C1_Relawan'!C43="","",'C1_Relawan'!B43),'C1_Relawan'!B43)</f>
        <v>18.71.XX.XXXX-20261005-RL-038</v>
      </c>
      <c r="C97" s="13" t="str">
        <f>IF('C1_Relawan'!J43="","",'C1_Relawan'!J43)</f>
        <v>BYR-RL-038</v>
      </c>
      <c r="D97" s="26">
        <f>IF('C1_Relawan'!E43="","",'C1_Relawan'!E43)</f>
        <v>46300</v>
      </c>
      <c r="E97" s="19">
        <f>N('C1_Relawan'!H43)</f>
        <v>90000</v>
      </c>
      <c r="F97" s="46" t="str">
        <f>IF('C1_Relawan'!K43="","",'C1_Relawan'!K43)</f>
        <v>https://cloud-sipgn.contoh/lpdh/relawan/BYR-RL-038.pdf</v>
      </c>
      <c r="G97" s="14" t="str">
        <f t="shared" si="1"/>
        <v>Unik</v>
      </c>
      <c r="H97" s="14" t="str">
        <f>IF(C97="","",IF(D97="","TANGGAL KOSONG",IF(AND(D97&gt;=Identitas!$B$32,D97&lt;=Identitas!$B$33),"Sesuai","DI LUAR PERIODE")))</f>
        <v>Sesuai</v>
      </c>
    </row>
    <row r="98" ht="15.75" customHeight="1">
      <c r="A98" s="6" t="s">
        <v>785</v>
      </c>
      <c r="B98" s="13" t="str">
        <f>IF(N('C1_Relawan'!C44)=0,IF('C1_Relawan'!C44="","",'C1_Relawan'!B44),'C1_Relawan'!B44)</f>
        <v>18.71.XX.XXXX-20261005-RL-039</v>
      </c>
      <c r="C98" s="13" t="str">
        <f>IF('C1_Relawan'!J44="","",'C1_Relawan'!J44)</f>
        <v>BYR-RL-039</v>
      </c>
      <c r="D98" s="26">
        <f>IF('C1_Relawan'!E44="","",'C1_Relawan'!E44)</f>
        <v>46300</v>
      </c>
      <c r="E98" s="19">
        <f>N('C1_Relawan'!H44)</f>
        <v>90000</v>
      </c>
      <c r="F98" s="46" t="str">
        <f>IF('C1_Relawan'!K44="","",'C1_Relawan'!K44)</f>
        <v>https://cloud-sipgn.contoh/lpdh/relawan/BYR-RL-039.pdf</v>
      </c>
      <c r="G98" s="14" t="str">
        <f t="shared" si="1"/>
        <v>Unik</v>
      </c>
      <c r="H98" s="14" t="str">
        <f>IF(C98="","",IF(D98="","TANGGAL KOSONG",IF(AND(D98&gt;=Identitas!$B$32,D98&lt;=Identitas!$B$33),"Sesuai","DI LUAR PERIODE")))</f>
        <v>Sesuai</v>
      </c>
    </row>
    <row r="99" ht="15.75" customHeight="1">
      <c r="A99" s="6" t="s">
        <v>785</v>
      </c>
      <c r="B99" s="13" t="str">
        <f>IF(N('C1_Relawan'!C45)=0,IF('C1_Relawan'!C45="","",'C1_Relawan'!B45),'C1_Relawan'!B45)</f>
        <v>18.71.XX.XXXX-20261005-RL-040</v>
      </c>
      <c r="C99" s="13" t="str">
        <f>IF('C1_Relawan'!J45="","",'C1_Relawan'!J45)</f>
        <v>BYR-RL-040</v>
      </c>
      <c r="D99" s="26">
        <f>IF('C1_Relawan'!E45="","",'C1_Relawan'!E45)</f>
        <v>46300</v>
      </c>
      <c r="E99" s="19">
        <f>N('C1_Relawan'!H45)</f>
        <v>90000</v>
      </c>
      <c r="F99" s="46" t="str">
        <f>IF('C1_Relawan'!K45="","",'C1_Relawan'!K45)</f>
        <v>https://cloud-sipgn.contoh/lpdh/relawan/BYR-RL-040.pdf</v>
      </c>
      <c r="G99" s="14" t="str">
        <f t="shared" si="1"/>
        <v>Unik</v>
      </c>
      <c r="H99" s="14" t="str">
        <f>IF(C99="","",IF(D99="","TANGGAL KOSONG",IF(AND(D99&gt;=Identitas!$B$32,D99&lt;=Identitas!$B$33),"Sesuai","DI LUAR PERIODE")))</f>
        <v>Sesuai</v>
      </c>
    </row>
    <row r="100" ht="15.75" customHeight="1">
      <c r="A100" s="6" t="s">
        <v>785</v>
      </c>
      <c r="B100" s="13" t="str">
        <f>IF(N('C1_Relawan'!C46)=0,IF('C1_Relawan'!C46="","",'C1_Relawan'!B46),'C1_Relawan'!B46)</f>
        <v>18.71.XX.XXXX-20261005-RL-041</v>
      </c>
      <c r="C100" s="13" t="str">
        <f>IF('C1_Relawan'!J46="","",'C1_Relawan'!J46)</f>
        <v>BYR-RL-041</v>
      </c>
      <c r="D100" s="26">
        <f>IF('C1_Relawan'!E46="","",'C1_Relawan'!E46)</f>
        <v>46300</v>
      </c>
      <c r="E100" s="19">
        <f>N('C1_Relawan'!H46)</f>
        <v>90000</v>
      </c>
      <c r="F100" s="46" t="str">
        <f>IF('C1_Relawan'!K46="","",'C1_Relawan'!K46)</f>
        <v>https://cloud-sipgn.contoh/lpdh/relawan/BYR-RL-041.pdf</v>
      </c>
      <c r="G100" s="14" t="str">
        <f t="shared" si="1"/>
        <v>Unik</v>
      </c>
      <c r="H100" s="14" t="str">
        <f>IF(C100="","",IF(D100="","TANGGAL KOSONG",IF(AND(D100&gt;=Identitas!$B$32,D100&lt;=Identitas!$B$33),"Sesuai","DI LUAR PERIODE")))</f>
        <v>Sesuai</v>
      </c>
    </row>
    <row r="101" ht="15.75" customHeight="1">
      <c r="A101" s="6" t="s">
        <v>785</v>
      </c>
      <c r="B101" s="13" t="str">
        <f>IF(N('C1_Relawan'!C47)=0,IF('C1_Relawan'!C47="","",'C1_Relawan'!B47),'C1_Relawan'!B47)</f>
        <v>18.71.XX.XXXX-20261005-RL-042</v>
      </c>
      <c r="C101" s="13" t="str">
        <f>IF('C1_Relawan'!J47="","",'C1_Relawan'!J47)</f>
        <v>BYR-RL-042</v>
      </c>
      <c r="D101" s="26">
        <f>IF('C1_Relawan'!E47="","",'C1_Relawan'!E47)</f>
        <v>46300</v>
      </c>
      <c r="E101" s="19">
        <f>N('C1_Relawan'!H47)</f>
        <v>90000</v>
      </c>
      <c r="F101" s="46" t="str">
        <f>IF('C1_Relawan'!K47="","",'C1_Relawan'!K47)</f>
        <v>https://cloud-sipgn.contoh/lpdh/relawan/BYR-RL-042.pdf</v>
      </c>
      <c r="G101" s="14" t="str">
        <f t="shared" si="1"/>
        <v>Unik</v>
      </c>
      <c r="H101" s="14" t="str">
        <f>IF(C101="","",IF(D101="","TANGGAL KOSONG",IF(AND(D101&gt;=Identitas!$B$32,D101&lt;=Identitas!$B$33),"Sesuai","DI LUAR PERIODE")))</f>
        <v>Sesuai</v>
      </c>
    </row>
    <row r="102" ht="15.75" customHeight="1">
      <c r="A102" s="6" t="s">
        <v>785</v>
      </c>
      <c r="B102" s="13" t="str">
        <f>IF(N('C1_Relawan'!C48)=0,IF('C1_Relawan'!C48="","",'C1_Relawan'!B48),'C1_Relawan'!B48)</f>
        <v>18.71.XX.XXXX-20261005-RL-043</v>
      </c>
      <c r="C102" s="13" t="str">
        <f>IF('C1_Relawan'!J48="","",'C1_Relawan'!J48)</f>
        <v>BYR-RL-043</v>
      </c>
      <c r="D102" s="26">
        <f>IF('C1_Relawan'!E48="","",'C1_Relawan'!E48)</f>
        <v>46300</v>
      </c>
      <c r="E102" s="19">
        <f>N('C1_Relawan'!H48)</f>
        <v>90000</v>
      </c>
      <c r="F102" s="46" t="str">
        <f>IF('C1_Relawan'!K48="","",'C1_Relawan'!K48)</f>
        <v>https://cloud-sipgn.contoh/lpdh/relawan/BYR-RL-043.pdf</v>
      </c>
      <c r="G102" s="14" t="str">
        <f t="shared" si="1"/>
        <v>Unik</v>
      </c>
      <c r="H102" s="14" t="str">
        <f>IF(C102="","",IF(D102="","TANGGAL KOSONG",IF(AND(D102&gt;=Identitas!$B$32,D102&lt;=Identitas!$B$33),"Sesuai","DI LUAR PERIODE")))</f>
        <v>Sesuai</v>
      </c>
    </row>
    <row r="103" ht="15.75" customHeight="1">
      <c r="A103" s="6" t="s">
        <v>785</v>
      </c>
      <c r="B103" s="13" t="str">
        <f>IF(N('C1_Relawan'!C49)=0,IF('C1_Relawan'!C49="","",'C1_Relawan'!B49),'C1_Relawan'!B49)</f>
        <v>18.71.XX.XXXX-20261005-RL-044</v>
      </c>
      <c r="C103" s="13" t="str">
        <f>IF('C1_Relawan'!J49="","",'C1_Relawan'!J49)</f>
        <v>BYR-RL-044</v>
      </c>
      <c r="D103" s="26">
        <f>IF('C1_Relawan'!E49="","",'C1_Relawan'!E49)</f>
        <v>46300</v>
      </c>
      <c r="E103" s="19">
        <f>N('C1_Relawan'!H49)</f>
        <v>90000</v>
      </c>
      <c r="F103" s="46" t="str">
        <f>IF('C1_Relawan'!K49="","",'C1_Relawan'!K49)</f>
        <v>https://cloud-sipgn.contoh/lpdh/relawan/BYR-RL-044.pdf</v>
      </c>
      <c r="G103" s="14" t="str">
        <f t="shared" si="1"/>
        <v>Unik</v>
      </c>
      <c r="H103" s="14" t="str">
        <f>IF(C103="","",IF(D103="","TANGGAL KOSONG",IF(AND(D103&gt;=Identitas!$B$32,D103&lt;=Identitas!$B$33),"Sesuai","DI LUAR PERIODE")))</f>
        <v>Sesuai</v>
      </c>
    </row>
    <row r="104" ht="15.75" customHeight="1">
      <c r="A104" s="6" t="s">
        <v>785</v>
      </c>
      <c r="B104" s="13" t="str">
        <f>IF(N('C1_Relawan'!C50)=0,IF('C1_Relawan'!C50="","",'C1_Relawan'!B50),'C1_Relawan'!B50)</f>
        <v>18.71.XX.XXXX-20261005-RL-045</v>
      </c>
      <c r="C104" s="13" t="str">
        <f>IF('C1_Relawan'!J50="","",'C1_Relawan'!J50)</f>
        <v>BYR-RL-045</v>
      </c>
      <c r="D104" s="26">
        <f>IF('C1_Relawan'!E50="","",'C1_Relawan'!E50)</f>
        <v>46300</v>
      </c>
      <c r="E104" s="19">
        <f>N('C1_Relawan'!H50)</f>
        <v>90000</v>
      </c>
      <c r="F104" s="46" t="str">
        <f>IF('C1_Relawan'!K50="","",'C1_Relawan'!K50)</f>
        <v>https://cloud-sipgn.contoh/lpdh/relawan/BYR-RL-045.pdf</v>
      </c>
      <c r="G104" s="14" t="str">
        <f t="shared" si="1"/>
        <v>Unik</v>
      </c>
      <c r="H104" s="14" t="str">
        <f>IF(C104="","",IF(D104="","TANGGAL KOSONG",IF(AND(D104&gt;=Identitas!$B$32,D104&lt;=Identitas!$B$33),"Sesuai","DI LUAR PERIODE")))</f>
        <v>Sesuai</v>
      </c>
    </row>
    <row r="105" ht="15.75" customHeight="1">
      <c r="A105" s="6" t="s">
        <v>785</v>
      </c>
      <c r="B105" s="13" t="str">
        <f>IF(N('C1_Relawan'!C51)=0,IF('C1_Relawan'!C51="","",'C1_Relawan'!B51),'C1_Relawan'!B51)</f>
        <v>18.71.XX.XXXX-20261005-RL-046</v>
      </c>
      <c r="C105" s="13" t="str">
        <f>IF('C1_Relawan'!J51="","",'C1_Relawan'!J51)</f>
        <v>BYR-RL-046</v>
      </c>
      <c r="D105" s="26">
        <f>IF('C1_Relawan'!E51="","",'C1_Relawan'!E51)</f>
        <v>46300</v>
      </c>
      <c r="E105" s="19">
        <f>N('C1_Relawan'!H51)</f>
        <v>90000</v>
      </c>
      <c r="F105" s="46" t="str">
        <f>IF('C1_Relawan'!K51="","",'C1_Relawan'!K51)</f>
        <v>https://cloud-sipgn.contoh/lpdh/relawan/BYR-RL-046.pdf</v>
      </c>
      <c r="G105" s="14" t="str">
        <f t="shared" si="1"/>
        <v>Unik</v>
      </c>
      <c r="H105" s="14" t="str">
        <f>IF(C105="","",IF(D105="","TANGGAL KOSONG",IF(AND(D105&gt;=Identitas!$B$32,D105&lt;=Identitas!$B$33),"Sesuai","DI LUAR PERIODE")))</f>
        <v>Sesuai</v>
      </c>
    </row>
    <row r="106" ht="15.75" customHeight="1">
      <c r="A106" s="6" t="s">
        <v>785</v>
      </c>
      <c r="B106" s="13" t="str">
        <f>IF(N('C1_Relawan'!C52)=0,IF('C1_Relawan'!C52="","",'C1_Relawan'!B52),'C1_Relawan'!B52)</f>
        <v>18.71.XX.XXXX-20261005-RL-047</v>
      </c>
      <c r="C106" s="13" t="str">
        <f>IF('C1_Relawan'!J52="","",'C1_Relawan'!J52)</f>
        <v>BYR-RL-047</v>
      </c>
      <c r="D106" s="26">
        <f>IF('C1_Relawan'!E52="","",'C1_Relawan'!E52)</f>
        <v>46300</v>
      </c>
      <c r="E106" s="19">
        <f>N('C1_Relawan'!H52)</f>
        <v>90000</v>
      </c>
      <c r="F106" s="46" t="str">
        <f>IF('C1_Relawan'!K52="","",'C1_Relawan'!K52)</f>
        <v>https://cloud-sipgn.contoh/lpdh/relawan/BYR-RL-047.pdf</v>
      </c>
      <c r="G106" s="14" t="str">
        <f t="shared" si="1"/>
        <v>Unik</v>
      </c>
      <c r="H106" s="14" t="str">
        <f>IF(C106="","",IF(D106="","TANGGAL KOSONG",IF(AND(D106&gt;=Identitas!$B$32,D106&lt;=Identitas!$B$33),"Sesuai","DI LUAR PERIODE")))</f>
        <v>Sesuai</v>
      </c>
    </row>
    <row r="107" ht="15.75" customHeight="1">
      <c r="A107" s="6" t="s">
        <v>785</v>
      </c>
      <c r="B107" s="13" t="str">
        <f>IF(N('C1_Relawan'!C53)=0,IF('C1_Relawan'!C53="","",'C1_Relawan'!B53),'C1_Relawan'!B53)</f>
        <v/>
      </c>
      <c r="C107" s="13" t="str">
        <f>IF('C1_Relawan'!J53="","",'C1_Relawan'!J53)</f>
        <v/>
      </c>
      <c r="D107" s="26" t="str">
        <f>IF('C1_Relawan'!E53="","",'C1_Relawan'!E53)</f>
        <v/>
      </c>
      <c r="E107" s="19">
        <f>N('C1_Relawan'!H53)</f>
        <v>0</v>
      </c>
      <c r="F107" s="13" t="str">
        <f>IF('C1_Relawan'!K53="","",'C1_Relawan'!K53)</f>
        <v/>
      </c>
      <c r="G107" s="14" t="str">
        <f t="shared" si="1"/>
        <v/>
      </c>
      <c r="H107" s="14" t="str">
        <f>IF(C107="","",IF(D107="","TANGGAL KOSONG",IF(AND(D107&gt;=Identitas!$B$32,D107&lt;=Identitas!$B$33),"Sesuai","DI LUAR PERIODE")))</f>
        <v/>
      </c>
    </row>
    <row r="108" ht="15.75" customHeight="1">
      <c r="A108" s="6" t="s">
        <v>785</v>
      </c>
      <c r="B108" s="13" t="str">
        <f>IF(N('C1_Relawan'!C54)=0,IF('C1_Relawan'!C54="","",'C1_Relawan'!B54),'C1_Relawan'!B54)</f>
        <v/>
      </c>
      <c r="C108" s="13" t="str">
        <f>IF('C1_Relawan'!J54="","",'C1_Relawan'!J54)</f>
        <v/>
      </c>
      <c r="D108" s="26" t="str">
        <f>IF('C1_Relawan'!E54="","",'C1_Relawan'!E54)</f>
        <v/>
      </c>
      <c r="E108" s="19">
        <f>N('C1_Relawan'!H54)</f>
        <v>0</v>
      </c>
      <c r="F108" s="13" t="str">
        <f>IF('C1_Relawan'!K54="","",'C1_Relawan'!K54)</f>
        <v/>
      </c>
      <c r="G108" s="14" t="str">
        <f t="shared" si="1"/>
        <v/>
      </c>
      <c r="H108" s="14" t="str">
        <f>IF(C108="","",IF(D108="","TANGGAL KOSONG",IF(AND(D108&gt;=Identitas!$B$32,D108&lt;=Identitas!$B$33),"Sesuai","DI LUAR PERIODE")))</f>
        <v/>
      </c>
    </row>
    <row r="109" ht="15.75" customHeight="1">
      <c r="A109" s="6" t="s">
        <v>785</v>
      </c>
      <c r="B109" s="13" t="str">
        <f>IF(N('C1_Relawan'!C55)=0,IF('C1_Relawan'!C55="","",'C1_Relawan'!B55),'C1_Relawan'!B55)</f>
        <v/>
      </c>
      <c r="C109" s="13" t="str">
        <f>IF('C1_Relawan'!J55="","",'C1_Relawan'!J55)</f>
        <v/>
      </c>
      <c r="D109" s="26" t="str">
        <f>IF('C1_Relawan'!E55="","",'C1_Relawan'!E55)</f>
        <v/>
      </c>
      <c r="E109" s="19">
        <f>N('C1_Relawan'!H55)</f>
        <v>0</v>
      </c>
      <c r="F109" s="13" t="str">
        <f>IF('C1_Relawan'!K55="","",'C1_Relawan'!K55)</f>
        <v/>
      </c>
      <c r="G109" s="14" t="str">
        <f t="shared" si="1"/>
        <v/>
      </c>
      <c r="H109" s="14" t="str">
        <f>IF(C109="","",IF(D109="","TANGGAL KOSONG",IF(AND(D109&gt;=Identitas!$B$32,D109&lt;=Identitas!$B$33),"Sesuai","DI LUAR PERIODE")))</f>
        <v/>
      </c>
    </row>
    <row r="110" ht="15.75" customHeight="1">
      <c r="A110" s="6" t="s">
        <v>785</v>
      </c>
      <c r="B110" s="13" t="str">
        <f>IF(N('C1_Relawan'!C56)=0,IF('C1_Relawan'!C56="","",'C1_Relawan'!B56),'C1_Relawan'!B56)</f>
        <v/>
      </c>
      <c r="C110" s="13" t="str">
        <f>IF('C1_Relawan'!J56="","",'C1_Relawan'!J56)</f>
        <v/>
      </c>
      <c r="D110" s="26" t="str">
        <f>IF('C1_Relawan'!E56="","",'C1_Relawan'!E56)</f>
        <v/>
      </c>
      <c r="E110" s="19">
        <f>N('C1_Relawan'!H56)</f>
        <v>0</v>
      </c>
      <c r="F110" s="13" t="str">
        <f>IF('C1_Relawan'!K56="","",'C1_Relawan'!K56)</f>
        <v/>
      </c>
      <c r="G110" s="14" t="str">
        <f t="shared" si="1"/>
        <v/>
      </c>
      <c r="H110" s="14" t="str">
        <f>IF(C110="","",IF(D110="","TANGGAL KOSONG",IF(AND(D110&gt;=Identitas!$B$32,D110&lt;=Identitas!$B$33),"Sesuai","DI LUAR PERIODE")))</f>
        <v/>
      </c>
    </row>
    <row r="111" ht="15.75" customHeight="1">
      <c r="A111" s="6" t="s">
        <v>785</v>
      </c>
      <c r="B111" s="13" t="str">
        <f>IF(N('C1_Relawan'!C57)=0,IF('C1_Relawan'!C57="","",'C1_Relawan'!B57),'C1_Relawan'!B57)</f>
        <v/>
      </c>
      <c r="C111" s="13" t="str">
        <f>IF('C1_Relawan'!J57="","",'C1_Relawan'!J57)</f>
        <v/>
      </c>
      <c r="D111" s="26" t="str">
        <f>IF('C1_Relawan'!E57="","",'C1_Relawan'!E57)</f>
        <v/>
      </c>
      <c r="E111" s="19">
        <f>N('C1_Relawan'!H57)</f>
        <v>0</v>
      </c>
      <c r="F111" s="13" t="str">
        <f>IF('C1_Relawan'!K57="","",'C1_Relawan'!K57)</f>
        <v/>
      </c>
      <c r="G111" s="14" t="str">
        <f t="shared" si="1"/>
        <v/>
      </c>
      <c r="H111" s="14" t="str">
        <f>IF(C111="","",IF(D111="","TANGGAL KOSONG",IF(AND(D111&gt;=Identitas!$B$32,D111&lt;=Identitas!$B$33),"Sesuai","DI LUAR PERIODE")))</f>
        <v/>
      </c>
    </row>
    <row r="112" ht="15.75" customHeight="1">
      <c r="A112" s="6" t="s">
        <v>785</v>
      </c>
      <c r="B112" s="13" t="str">
        <f>IF(N('C1_Relawan'!C58)=0,IF('C1_Relawan'!C58="","",'C1_Relawan'!B58),'C1_Relawan'!B58)</f>
        <v/>
      </c>
      <c r="C112" s="13" t="str">
        <f>IF('C1_Relawan'!J58="","",'C1_Relawan'!J58)</f>
        <v/>
      </c>
      <c r="D112" s="26" t="str">
        <f>IF('C1_Relawan'!E58="","",'C1_Relawan'!E58)</f>
        <v/>
      </c>
      <c r="E112" s="19">
        <f>N('C1_Relawan'!H58)</f>
        <v>0</v>
      </c>
      <c r="F112" s="13" t="str">
        <f>IF('C1_Relawan'!K58="","",'C1_Relawan'!K58)</f>
        <v/>
      </c>
      <c r="G112" s="14" t="str">
        <f t="shared" si="1"/>
        <v/>
      </c>
      <c r="H112" s="14" t="str">
        <f>IF(C112="","",IF(D112="","TANGGAL KOSONG",IF(AND(D112&gt;=Identitas!$B$32,D112&lt;=Identitas!$B$33),"Sesuai","DI LUAR PERIODE")))</f>
        <v/>
      </c>
    </row>
    <row r="113" ht="15.75" customHeight="1">
      <c r="A113" s="6" t="s">
        <v>785</v>
      </c>
      <c r="B113" s="13" t="str">
        <f>IF(N('C1_Relawan'!C59)=0,IF('C1_Relawan'!C59="","",'C1_Relawan'!B59),'C1_Relawan'!B59)</f>
        <v/>
      </c>
      <c r="C113" s="13" t="str">
        <f>IF('C1_Relawan'!J59="","",'C1_Relawan'!J59)</f>
        <v/>
      </c>
      <c r="D113" s="26" t="str">
        <f>IF('C1_Relawan'!E59="","",'C1_Relawan'!E59)</f>
        <v/>
      </c>
      <c r="E113" s="19">
        <f>N('C1_Relawan'!H59)</f>
        <v>0</v>
      </c>
      <c r="F113" s="13" t="str">
        <f>IF('C1_Relawan'!K59="","",'C1_Relawan'!K59)</f>
        <v/>
      </c>
      <c r="G113" s="14" t="str">
        <f t="shared" si="1"/>
        <v/>
      </c>
      <c r="H113" s="14" t="str">
        <f>IF(C113="","",IF(D113="","TANGGAL KOSONG",IF(AND(D113&gt;=Identitas!$B$32,D113&lt;=Identitas!$B$33),"Sesuai","DI LUAR PERIODE")))</f>
        <v/>
      </c>
    </row>
    <row r="114" ht="15.75" customHeight="1">
      <c r="A114" s="6" t="s">
        <v>785</v>
      </c>
      <c r="B114" s="13" t="str">
        <f>IF(N('C1_Relawan'!C60)=0,IF('C1_Relawan'!C60="","",'C1_Relawan'!B60),'C1_Relawan'!B60)</f>
        <v/>
      </c>
      <c r="C114" s="13" t="str">
        <f>IF('C1_Relawan'!J60="","",'C1_Relawan'!J60)</f>
        <v/>
      </c>
      <c r="D114" s="26" t="str">
        <f>IF('C1_Relawan'!E60="","",'C1_Relawan'!E60)</f>
        <v/>
      </c>
      <c r="E114" s="19">
        <f>N('C1_Relawan'!H60)</f>
        <v>0</v>
      </c>
      <c r="F114" s="13" t="str">
        <f>IF('C1_Relawan'!K60="","",'C1_Relawan'!K60)</f>
        <v/>
      </c>
      <c r="G114" s="14" t="str">
        <f t="shared" si="1"/>
        <v/>
      </c>
      <c r="H114" s="14" t="str">
        <f>IF(C114="","",IF(D114="","TANGGAL KOSONG",IF(AND(D114&gt;=Identitas!$B$32,D114&lt;=Identitas!$B$33),"Sesuai","DI LUAR PERIODE")))</f>
        <v/>
      </c>
    </row>
    <row r="115" ht="15.75" customHeight="1">
      <c r="A115" s="6" t="s">
        <v>785</v>
      </c>
      <c r="B115" s="13" t="str">
        <f>IF(N('C1_Relawan'!C61)=0,IF('C1_Relawan'!C61="","",'C1_Relawan'!B61),'C1_Relawan'!B61)</f>
        <v/>
      </c>
      <c r="C115" s="13" t="str">
        <f>IF('C1_Relawan'!J61="","",'C1_Relawan'!J61)</f>
        <v/>
      </c>
      <c r="D115" s="26" t="str">
        <f>IF('C1_Relawan'!E61="","",'C1_Relawan'!E61)</f>
        <v/>
      </c>
      <c r="E115" s="19">
        <f>N('C1_Relawan'!H61)</f>
        <v>0</v>
      </c>
      <c r="F115" s="13" t="str">
        <f>IF('C1_Relawan'!K61="","",'C1_Relawan'!K61)</f>
        <v/>
      </c>
      <c r="G115" s="14" t="str">
        <f t="shared" si="1"/>
        <v/>
      </c>
      <c r="H115" s="14" t="str">
        <f>IF(C115="","",IF(D115="","TANGGAL KOSONG",IF(AND(D115&gt;=Identitas!$B$32,D115&lt;=Identitas!$B$33),"Sesuai","DI LUAR PERIODE")))</f>
        <v/>
      </c>
    </row>
    <row r="116" ht="15.75" customHeight="1">
      <c r="A116" s="6" t="s">
        <v>785</v>
      </c>
      <c r="B116" s="13" t="str">
        <f>IF(N('C1_Relawan'!C62)=0,IF('C1_Relawan'!C62="","",'C1_Relawan'!B62),'C1_Relawan'!B62)</f>
        <v/>
      </c>
      <c r="C116" s="13" t="str">
        <f>IF('C1_Relawan'!J62="","",'C1_Relawan'!J62)</f>
        <v/>
      </c>
      <c r="D116" s="26" t="str">
        <f>IF('C1_Relawan'!E62="","",'C1_Relawan'!E62)</f>
        <v/>
      </c>
      <c r="E116" s="19">
        <f>N('C1_Relawan'!H62)</f>
        <v>0</v>
      </c>
      <c r="F116" s="13" t="str">
        <f>IF('C1_Relawan'!K62="","",'C1_Relawan'!K62)</f>
        <v/>
      </c>
      <c r="G116" s="14" t="str">
        <f t="shared" si="1"/>
        <v/>
      </c>
      <c r="H116" s="14" t="str">
        <f>IF(C116="","",IF(D116="","TANGGAL KOSONG",IF(AND(D116&gt;=Identitas!$B$32,D116&lt;=Identitas!$B$33),"Sesuai","DI LUAR PERIODE")))</f>
        <v/>
      </c>
    </row>
    <row r="117" ht="15.75" customHeight="1">
      <c r="A117" s="6" t="s">
        <v>785</v>
      </c>
      <c r="B117" s="13" t="str">
        <f>IF(N('C1_Relawan'!C63)=0,IF('C1_Relawan'!C63="","",'C1_Relawan'!B63),'C1_Relawan'!B63)</f>
        <v/>
      </c>
      <c r="C117" s="13" t="str">
        <f>IF('C1_Relawan'!J63="","",'C1_Relawan'!J63)</f>
        <v/>
      </c>
      <c r="D117" s="26" t="str">
        <f>IF('C1_Relawan'!E63="","",'C1_Relawan'!E63)</f>
        <v/>
      </c>
      <c r="E117" s="19">
        <f>N('C1_Relawan'!H63)</f>
        <v>0</v>
      </c>
      <c r="F117" s="13" t="str">
        <f>IF('C1_Relawan'!K63="","",'C1_Relawan'!K63)</f>
        <v/>
      </c>
      <c r="G117" s="14" t="str">
        <f t="shared" si="1"/>
        <v/>
      </c>
      <c r="H117" s="14" t="str">
        <f>IF(C117="","",IF(D117="","TANGGAL KOSONG",IF(AND(D117&gt;=Identitas!$B$32,D117&lt;=Identitas!$B$33),"Sesuai","DI LUAR PERIODE")))</f>
        <v/>
      </c>
    </row>
    <row r="118" ht="15.75" customHeight="1">
      <c r="A118" s="6" t="s">
        <v>785</v>
      </c>
      <c r="B118" s="13" t="str">
        <f>IF(N('C1_Relawan'!C64)=0,IF('C1_Relawan'!C64="","",'C1_Relawan'!B64),'C1_Relawan'!B64)</f>
        <v/>
      </c>
      <c r="C118" s="13" t="str">
        <f>IF('C1_Relawan'!J64="","",'C1_Relawan'!J64)</f>
        <v/>
      </c>
      <c r="D118" s="26" t="str">
        <f>IF('C1_Relawan'!E64="","",'C1_Relawan'!E64)</f>
        <v/>
      </c>
      <c r="E118" s="19">
        <f>N('C1_Relawan'!H64)</f>
        <v>0</v>
      </c>
      <c r="F118" s="13" t="str">
        <f>IF('C1_Relawan'!K64="","",'C1_Relawan'!K64)</f>
        <v/>
      </c>
      <c r="G118" s="14" t="str">
        <f t="shared" si="1"/>
        <v/>
      </c>
      <c r="H118" s="14" t="str">
        <f>IF(C118="","",IF(D118="","TANGGAL KOSONG",IF(AND(D118&gt;=Identitas!$B$32,D118&lt;=Identitas!$B$33),"Sesuai","DI LUAR PERIODE")))</f>
        <v/>
      </c>
    </row>
    <row r="119" ht="15.75" customHeight="1">
      <c r="A119" s="6" t="s">
        <v>785</v>
      </c>
      <c r="B119" s="13" t="str">
        <f>IF(N('C1_Relawan'!C65)=0,IF('C1_Relawan'!C65="","",'C1_Relawan'!B65),'C1_Relawan'!B65)</f>
        <v/>
      </c>
      <c r="C119" s="13" t="str">
        <f>IF('C1_Relawan'!J65="","",'C1_Relawan'!J65)</f>
        <v/>
      </c>
      <c r="D119" s="26" t="str">
        <f>IF('C1_Relawan'!E65="","",'C1_Relawan'!E65)</f>
        <v/>
      </c>
      <c r="E119" s="19">
        <f>N('C1_Relawan'!H65)</f>
        <v>0</v>
      </c>
      <c r="F119" s="13" t="str">
        <f>IF('C1_Relawan'!K65="","",'C1_Relawan'!K65)</f>
        <v/>
      </c>
      <c r="G119" s="14" t="str">
        <f t="shared" si="1"/>
        <v/>
      </c>
      <c r="H119" s="14" t="str">
        <f>IF(C119="","",IF(D119="","TANGGAL KOSONG",IF(AND(D119&gt;=Identitas!$B$32,D119&lt;=Identitas!$B$33),"Sesuai","DI LUAR PERIODE")))</f>
        <v/>
      </c>
    </row>
    <row r="120" ht="15.75" customHeight="1">
      <c r="A120" s="6" t="s">
        <v>786</v>
      </c>
      <c r="B120" s="13" t="str">
        <f>IF(N(D_Insentif!C21)=0,"",D_Insentif!C28)</f>
        <v>18.71.XX.XXXX-20261005-INS-001</v>
      </c>
      <c r="C120" s="13" t="str">
        <f>IF(D_Insentif!C23="","",D_Insentif!C23)</f>
        <v>BYR-INS-001</v>
      </c>
      <c r="D120" s="26">
        <f>IF(D_Insentif!C22="","",D_Insentif!C22)</f>
        <v>46300</v>
      </c>
      <c r="E120" s="19">
        <f>N(D_Insentif!C21)</f>
        <v>4678000</v>
      </c>
      <c r="F120" s="46" t="str">
        <f>IF(D_Insentif!C26="","",D_Insentif!C26)</f>
        <v>https://cloud-sipgn.contoh/lpdh/insentif/BYR-INS-001.pdf</v>
      </c>
      <c r="G120" s="14" t="str">
        <f t="shared" si="1"/>
        <v>Unik</v>
      </c>
      <c r="H120" s="14" t="str">
        <f>IF(C120="","",IF(D120="","TANGGAL KOSONG",IF(AND(D120&gt;=Identitas!$B$32,D120&lt;=Identitas!$B$33),"Sesuai","DI LUAR PERIODE")))</f>
        <v>Sesuai</v>
      </c>
    </row>
    <row r="121" ht="15.75" customHeight="1">
      <c r="A121" s="6" t="s">
        <v>787</v>
      </c>
      <c r="B121" s="13" t="str">
        <f>IF(N(E_Saldo!H19)=0,"",E_Saldo!B19)</f>
        <v>18.71.XX.XXXX-20261005-TU-001</v>
      </c>
      <c r="C121" s="13" t="str">
        <f>IF(E_Saldo!I19="","",E_Saldo!I19)</f>
        <v>KW-TU-001</v>
      </c>
      <c r="D121" s="26">
        <f>IF(E_Saldo!C19="","",E_Saldo!C19)</f>
        <v>46300</v>
      </c>
      <c r="E121" s="19">
        <f>N(E_Saldo!H19)</f>
        <v>32000000</v>
      </c>
      <c r="F121" s="46" t="str">
        <f>IF(E_Saldo!J19="","",E_Saldo!J19)</f>
        <v>https://cloud-sipgn.contoh/lpdh/topup/KW-TU-001.pdf</v>
      </c>
      <c r="G121" s="14" t="str">
        <f t="shared" si="1"/>
        <v>Unik</v>
      </c>
      <c r="H121" s="14" t="str">
        <f>IF(C121="","",IF(D121="","TANGGAL KOSONG",IF(AND(D121&gt;=Identitas!$B$32,D121&lt;=Identitas!$B$33),"Sesuai","DI LUAR PERIODE")))</f>
        <v>Sesuai</v>
      </c>
    </row>
    <row r="122" ht="15.75" customHeight="1">
      <c r="A122" s="6" t="s">
        <v>787</v>
      </c>
      <c r="B122" s="13" t="str">
        <f>IF(N(E_Saldo!H20)=0,"",E_Saldo!B20)</f>
        <v/>
      </c>
      <c r="C122" s="13" t="str">
        <f>IF(E_Saldo!I20="","",E_Saldo!I20)</f>
        <v/>
      </c>
      <c r="D122" s="26" t="str">
        <f>IF(E_Saldo!C20="","",E_Saldo!C20)</f>
        <v/>
      </c>
      <c r="E122" s="19">
        <f>N(E_Saldo!H20)</f>
        <v>0</v>
      </c>
      <c r="F122" s="13" t="str">
        <f>IF(E_Saldo!J20="","",E_Saldo!J20)</f>
        <v/>
      </c>
      <c r="G122" s="14" t="str">
        <f t="shared" si="1"/>
        <v/>
      </c>
      <c r="H122" s="14" t="str">
        <f>IF(C122="","",IF(D122="","TANGGAL KOSONG",IF(AND(D122&gt;=Identitas!$B$32,D122&lt;=Identitas!$B$33),"Sesuai","DI LUAR PERIODE")))</f>
        <v/>
      </c>
    </row>
    <row r="123" ht="15.75" customHeight="1">
      <c r="A123" s="6" t="s">
        <v>787</v>
      </c>
      <c r="B123" s="13" t="str">
        <f>IF(N(E_Saldo!H21)=0,"",E_Saldo!B21)</f>
        <v/>
      </c>
      <c r="C123" s="13" t="str">
        <f>IF(E_Saldo!I21="","",E_Saldo!I21)</f>
        <v/>
      </c>
      <c r="D123" s="26" t="str">
        <f>IF(E_Saldo!C21="","",E_Saldo!C21)</f>
        <v/>
      </c>
      <c r="E123" s="19">
        <f>N(E_Saldo!H21)</f>
        <v>0</v>
      </c>
      <c r="F123" s="13" t="str">
        <f>IF(E_Saldo!J21="","",E_Saldo!J21)</f>
        <v/>
      </c>
      <c r="G123" s="14" t="str">
        <f t="shared" si="1"/>
        <v/>
      </c>
      <c r="H123" s="14" t="str">
        <f>IF(C123="","",IF(D123="","TANGGAL KOSONG",IF(AND(D123&gt;=Identitas!$B$32,D123&lt;=Identitas!$B$33),"Sesuai","DI LUAR PERIODE")))</f>
        <v/>
      </c>
    </row>
    <row r="124" ht="15.75" customHeight="1">
      <c r="A124" s="6" t="s">
        <v>787</v>
      </c>
      <c r="B124" s="13" t="str">
        <f>IF(N(E_Saldo!H22)=0,"",E_Saldo!B22)</f>
        <v/>
      </c>
      <c r="C124" s="13" t="str">
        <f>IF(E_Saldo!I22="","",E_Saldo!I22)</f>
        <v/>
      </c>
      <c r="D124" s="26" t="str">
        <f>IF(E_Saldo!C22="","",E_Saldo!C22)</f>
        <v/>
      </c>
      <c r="E124" s="19">
        <f>N(E_Saldo!H22)</f>
        <v>0</v>
      </c>
      <c r="F124" s="13" t="str">
        <f>IF(E_Saldo!J22="","",E_Saldo!J22)</f>
        <v/>
      </c>
      <c r="G124" s="14" t="str">
        <f t="shared" si="1"/>
        <v/>
      </c>
      <c r="H124" s="14" t="str">
        <f>IF(C124="","",IF(D124="","TANGGAL KOSONG",IF(AND(D124&gt;=Identitas!$B$32,D124&lt;=Identitas!$B$33),"Sesuai","DI LUAR PERIODE")))</f>
        <v/>
      </c>
    </row>
    <row r="125" ht="15.75" customHeight="1">
      <c r="A125" s="6" t="s">
        <v>787</v>
      </c>
      <c r="B125" s="13" t="str">
        <f>IF(N(E_Saldo!H23)=0,"",E_Saldo!B23)</f>
        <v/>
      </c>
      <c r="C125" s="13" t="str">
        <f>IF(E_Saldo!I23="","",E_Saldo!I23)</f>
        <v/>
      </c>
      <c r="D125" s="26" t="str">
        <f>IF(E_Saldo!C23="","",E_Saldo!C23)</f>
        <v/>
      </c>
      <c r="E125" s="19">
        <f>N(E_Saldo!H23)</f>
        <v>0</v>
      </c>
      <c r="F125" s="13" t="str">
        <f>IF(E_Saldo!J23="","",E_Saldo!J23)</f>
        <v/>
      </c>
      <c r="G125" s="14" t="str">
        <f t="shared" si="1"/>
        <v/>
      </c>
      <c r="H125" s="14" t="str">
        <f>IF(C125="","",IF(D125="","TANGGAL KOSONG",IF(AND(D125&gt;=Identitas!$B$32,D125&lt;=Identitas!$B$33),"Sesuai","DI LUAR PERIODE")))</f>
        <v/>
      </c>
    </row>
    <row r="126" ht="15.75" customHeight="1"/>
    <row r="127" ht="15.75" customHeight="1">
      <c r="A127" s="40" t="s">
        <v>788</v>
      </c>
      <c r="C127" s="16" t="str">
        <f>COUNTIF(G5:G125,"DUPLIKAT")</f>
        <v>#REF!</v>
      </c>
    </row>
    <row r="128" ht="15.75" customHeight="1">
      <c r="A128" s="40" t="s">
        <v>789</v>
      </c>
      <c r="C128" s="16">
        <f>COUNTIF(H5:H125,"DI LUAR PERIODE")+COUNTIF(H5:H125,"TANGGAL KOSONG")</f>
        <v>0</v>
      </c>
    </row>
    <row r="129" ht="15.75" customHeight="1">
      <c r="A129" s="40" t="s">
        <v>790</v>
      </c>
      <c r="C129" s="16">
        <f>SUMPRODUCT((E5:E125&gt;0)*(LEFT(F5:F125,8)&lt;&gt;"https://"))</f>
        <v>0</v>
      </c>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5:H125">
    <cfRule type="cellIs" dxfId="0" priority="1" operator="equal">
      <formula>"DUPLIKAT"</formula>
    </cfRule>
  </conditionalFormatting>
  <conditionalFormatting sqref="G5:H125">
    <cfRule type="cellIs" dxfId="0" priority="2" operator="equal">
      <formula>"DI LUAR PERIODE"</formula>
    </cfRule>
  </conditionalFormatting>
  <conditionalFormatting sqref="G5:H125">
    <cfRule type="cellIs" dxfId="0" priority="3" operator="equal">
      <formula>"TANGGAL KOSONG"</formula>
    </cfRule>
  </conditionalFormatting>
  <conditionalFormatting sqref="G5:H125">
    <cfRule type="cellIs" dxfId="0" priority="4" operator="equal">
      <formula>"BELUM LENGKAP"</formula>
    </cfRule>
  </conditionalFormatting>
  <conditionalFormatting sqref="G5:H125">
    <cfRule type="cellIs" dxfId="0" priority="5" operator="equal">
      <formula>"BELUM ADA LINK"</formula>
    </cfRule>
  </conditionalFormatting>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30.0"/>
    <col customWidth="1" min="3" max="3" width="4.0"/>
    <col customWidth="1" min="4" max="4" width="30.0"/>
    <col customWidth="1" min="5" max="5" width="4.0"/>
    <col customWidth="1" min="6" max="6" width="30.0"/>
    <col customWidth="1" min="7" max="26" width="8.71"/>
  </cols>
  <sheetData>
    <row r="1">
      <c r="A1" s="48" t="s">
        <v>686</v>
      </c>
    </row>
    <row r="2">
      <c r="A2" s="49" t="s">
        <v>687</v>
      </c>
    </row>
    <row r="3">
      <c r="A3" s="50" t="s">
        <v>688</v>
      </c>
    </row>
    <row r="5">
      <c r="A5" s="51" t="s">
        <v>689</v>
      </c>
      <c r="C5" s="52" t="s">
        <v>691</v>
      </c>
      <c r="D5" s="53" t="str">
        <f>Identitas!B6&amp;" / "&amp;Identitas!B7</f>
        <v>18.71.XX.XXXX / SPPG Contoh 1</v>
      </c>
    </row>
    <row r="6">
      <c r="A6" s="51" t="s">
        <v>694</v>
      </c>
      <c r="C6" s="52" t="s">
        <v>691</v>
      </c>
      <c r="D6" s="53" t="str">
        <f>Identitas!B10&amp;", "&amp;Identitas!B11</f>
        <v>Kota Contoh, Lampung</v>
      </c>
    </row>
    <row r="7">
      <c r="A7" s="51" t="s">
        <v>695</v>
      </c>
      <c r="C7" s="52" t="s">
        <v>691</v>
      </c>
      <c r="D7" s="53" t="str">
        <f>Identitas!B12</f>
        <v>Yayasan Contoh</v>
      </c>
    </row>
    <row r="8">
      <c r="A8" s="51" t="s">
        <v>699</v>
      </c>
      <c r="C8" s="52" t="s">
        <v>691</v>
      </c>
      <c r="D8" s="53" t="str">
        <f>TEXT(Identitas!B15,"dd-mm-yyyy")</f>
        <v>05-10-2026</v>
      </c>
    </row>
    <row r="9">
      <c r="A9" s="51" t="s">
        <v>700</v>
      </c>
      <c r="C9" s="52" t="s">
        <v>691</v>
      </c>
      <c r="D9" s="53" t="str">
        <f>Identitas!B18&amp;IF(Identitas!B18="HPE"," ke-"&amp;Identitas!B19,"")</f>
        <v>HPE ke-1</v>
      </c>
    </row>
    <row r="10">
      <c r="A10" s="51" t="s">
        <v>74</v>
      </c>
      <c r="C10" s="52" t="s">
        <v>691</v>
      </c>
      <c r="D10" s="53" t="str">
        <f>Identitas!B29</f>
        <v>18.71.XX.XXXX_SPPG Contoh 1_LPDH_20261005</v>
      </c>
    </row>
    <row r="12">
      <c r="A12" s="54" t="s">
        <v>701</v>
      </c>
    </row>
    <row r="13">
      <c r="A13" s="55" t="s">
        <v>702</v>
      </c>
      <c r="B13" s="56"/>
      <c r="C13" s="56"/>
      <c r="D13" s="56"/>
      <c r="E13" s="57">
        <f>A_PM!C47</f>
        <v>2339</v>
      </c>
      <c r="F13" s="56"/>
    </row>
    <row r="14">
      <c r="A14" s="55" t="s">
        <v>706</v>
      </c>
      <c r="B14" s="56"/>
      <c r="C14" s="56"/>
      <c r="D14" s="56"/>
      <c r="E14" s="57">
        <f>B_BahanBaku!I46</f>
        <v>18885000</v>
      </c>
      <c r="F14" s="56"/>
    </row>
    <row r="15">
      <c r="A15" s="55" t="s">
        <v>707</v>
      </c>
      <c r="B15" s="56"/>
      <c r="C15" s="56"/>
      <c r="D15" s="56"/>
      <c r="E15" s="57">
        <f>C_Operasional!H22</f>
        <v>6790000</v>
      </c>
      <c r="F15" s="56"/>
    </row>
    <row r="16">
      <c r="A16" s="55" t="s">
        <v>708</v>
      </c>
      <c r="B16" s="56"/>
      <c r="C16" s="56"/>
      <c r="D16" s="56"/>
      <c r="E16" s="57">
        <f>D_Insentif!C16</f>
        <v>4678000</v>
      </c>
      <c r="F16" s="56"/>
    </row>
    <row r="17">
      <c r="A17" s="55" t="s">
        <v>711</v>
      </c>
      <c r="B17" s="56"/>
      <c r="C17" s="56"/>
      <c r="D17" s="56"/>
      <c r="E17" s="57">
        <f>D_Insentif!C21</f>
        <v>4678000</v>
      </c>
      <c r="F17" s="56"/>
    </row>
    <row r="18">
      <c r="A18" s="55" t="s">
        <v>713</v>
      </c>
      <c r="B18" s="56"/>
      <c r="C18" s="56"/>
      <c r="D18" s="56"/>
      <c r="E18" s="57">
        <f>E_Saldo!E8</f>
        <v>366647000</v>
      </c>
      <c r="F18" s="56"/>
    </row>
    <row r="19">
      <c r="A19" s="55" t="s">
        <v>714</v>
      </c>
      <c r="B19" s="56"/>
      <c r="C19" s="56"/>
      <c r="D19" s="56"/>
      <c r="E19" s="57">
        <f>F_TopUp!B8</f>
        <v>30353000</v>
      </c>
      <c r="F19" s="56"/>
    </row>
    <row r="20">
      <c r="A20" s="55" t="s">
        <v>715</v>
      </c>
      <c r="B20" s="56"/>
      <c r="C20" s="56"/>
      <c r="D20" s="56"/>
      <c r="E20" s="58" t="str">
        <f>G_CekPPK!C33</f>
        <v>LENGKAP: DAPAT DIPROSES</v>
      </c>
      <c r="F20" s="56"/>
    </row>
    <row r="21" ht="15.75" customHeight="1"/>
    <row r="22" ht="30.0" customHeight="1">
      <c r="A22" s="59" t="s">
        <v>716</v>
      </c>
    </row>
    <row r="23" ht="30.0" customHeight="1"/>
    <row r="24" ht="15.75" customHeight="1"/>
    <row r="25" ht="15.75" customHeight="1">
      <c r="D25" s="52" t="str">
        <f>Identitas!B10&amp;", "&amp;TEXT(Identitas!B15,"dd-mm-yyyy")</f>
        <v>Kota Contoh, 05-10-2026</v>
      </c>
    </row>
    <row r="26" ht="15.75" customHeight="1"/>
    <row r="27" ht="15.75" customHeight="1">
      <c r="B27" s="52" t="s">
        <v>720</v>
      </c>
      <c r="D27" s="52" t="s">
        <v>721</v>
      </c>
      <c r="F27" s="52" t="s">
        <v>722</v>
      </c>
    </row>
    <row r="28" ht="30.0" customHeight="1">
      <c r="B28" s="60" t="s">
        <v>724</v>
      </c>
      <c r="D28" s="60" t="s">
        <v>725</v>
      </c>
      <c r="F28" s="60" t="s">
        <v>726</v>
      </c>
    </row>
    <row r="29" ht="18.0" customHeight="1"/>
    <row r="30" ht="18.0" customHeight="1"/>
    <row r="31" ht="18.0" customHeight="1">
      <c r="D31" s="61" t="s">
        <v>727</v>
      </c>
      <c r="F31" s="61" t="s">
        <v>728</v>
      </c>
    </row>
    <row r="32" ht="18.0" customHeight="1"/>
    <row r="33" ht="15.75" customHeight="1">
      <c r="B33" s="62" t="str">
        <f>Identitas!B36</f>
        <v>Nama Pengawas Keuangan</v>
      </c>
      <c r="D33" s="62" t="str">
        <f>Identitas!B37</f>
        <v>Nama Kepala SPPG</v>
      </c>
      <c r="F33" s="62" t="str">
        <f>Identitas!B38</f>
        <v>Nama Perwakilan Yayasan</v>
      </c>
    </row>
    <row r="34" ht="15.75" customHeight="1">
      <c r="B34" s="52" t="str">
        <f>"NIK. "&amp;Identitas!D36</f>
        <v>NIK. 1871000000000001</v>
      </c>
      <c r="D34" s="52" t="str">
        <f>"NIP. "&amp;Identitas!D37</f>
        <v>NIP. 199001012026011001</v>
      </c>
      <c r="F34" s="52" t="str">
        <f>"NIK. "&amp;Identitas!D38</f>
        <v>NIK. 1871000000000002</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D6:F6"/>
    <mergeCell ref="D7:F7"/>
    <mergeCell ref="A1:F1"/>
    <mergeCell ref="A2:F2"/>
    <mergeCell ref="A3:F3"/>
    <mergeCell ref="A5:B5"/>
    <mergeCell ref="D5:F5"/>
    <mergeCell ref="A6:B6"/>
    <mergeCell ref="A7:B7"/>
    <mergeCell ref="A8:B8"/>
    <mergeCell ref="D8:F8"/>
    <mergeCell ref="A9:B9"/>
    <mergeCell ref="D9:F9"/>
    <mergeCell ref="A10:B10"/>
    <mergeCell ref="D10:F10"/>
    <mergeCell ref="A12:F12"/>
    <mergeCell ref="A13:D13"/>
    <mergeCell ref="E13:F13"/>
    <mergeCell ref="A14:D14"/>
    <mergeCell ref="E14:F14"/>
    <mergeCell ref="A15:D15"/>
    <mergeCell ref="E15:F15"/>
    <mergeCell ref="E16:F16"/>
    <mergeCell ref="A20:D20"/>
    <mergeCell ref="E20:F20"/>
    <mergeCell ref="A22:F23"/>
    <mergeCell ref="D25:F25"/>
    <mergeCell ref="A16:D16"/>
    <mergeCell ref="A17:D17"/>
    <mergeCell ref="E17:F17"/>
    <mergeCell ref="A18:D18"/>
    <mergeCell ref="E18:F18"/>
    <mergeCell ref="A19:D19"/>
    <mergeCell ref="E19:F19"/>
  </mergeCells>
  <printOptions/>
  <pageMargins bottom="1.0" footer="0.0" header="0.0" left="0.75" right="0.75" top="1.0"/>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0.0"/>
    <col customWidth="1" min="2" max="2" width="34.0"/>
    <col customWidth="1" min="3" max="3" width="18.0"/>
    <col customWidth="1" min="4" max="4" width="64.0"/>
    <col customWidth="1" min="5" max="26" width="8.71"/>
  </cols>
  <sheetData>
    <row r="1">
      <c r="A1" s="1" t="s">
        <v>732</v>
      </c>
    </row>
    <row r="2">
      <c r="A2" s="2" t="s">
        <v>733</v>
      </c>
    </row>
    <row r="4" ht="36.0" customHeight="1">
      <c r="A4" s="4" t="s">
        <v>734</v>
      </c>
      <c r="B4" s="4" t="s">
        <v>359</v>
      </c>
      <c r="C4" s="4" t="s">
        <v>92</v>
      </c>
      <c r="D4" s="4" t="s">
        <v>293</v>
      </c>
    </row>
    <row r="5">
      <c r="A5" s="6" t="s">
        <v>735</v>
      </c>
      <c r="B5" s="63">
        <v>2000.0</v>
      </c>
      <c r="C5" s="6" t="s">
        <v>736</v>
      </c>
      <c r="D5" s="6" t="s">
        <v>737</v>
      </c>
    </row>
    <row r="6">
      <c r="A6" s="6" t="s">
        <v>738</v>
      </c>
      <c r="B6" s="63">
        <v>8000.0</v>
      </c>
      <c r="C6" s="6" t="s">
        <v>739</v>
      </c>
      <c r="D6" s="6" t="s">
        <v>740</v>
      </c>
    </row>
    <row r="7">
      <c r="A7" s="6" t="s">
        <v>741</v>
      </c>
      <c r="B7" s="63">
        <v>10000.0</v>
      </c>
      <c r="C7" s="6" t="s">
        <v>739</v>
      </c>
      <c r="D7" s="6" t="s">
        <v>742</v>
      </c>
    </row>
    <row r="8">
      <c r="A8" s="6" t="s">
        <v>743</v>
      </c>
      <c r="B8" s="63">
        <v>3000.0</v>
      </c>
      <c r="C8" s="6" t="s">
        <v>744</v>
      </c>
      <c r="D8" s="6" t="s">
        <v>550</v>
      </c>
    </row>
    <row r="9">
      <c r="A9" s="6" t="s">
        <v>745</v>
      </c>
      <c r="B9" s="63">
        <v>5.0E8</v>
      </c>
      <c r="C9" s="6" t="s">
        <v>736</v>
      </c>
      <c r="D9" s="6" t="s">
        <v>746</v>
      </c>
    </row>
    <row r="10">
      <c r="A10" s="6" t="s">
        <v>747</v>
      </c>
      <c r="B10" s="64">
        <v>5.0</v>
      </c>
      <c r="C10" s="6" t="s">
        <v>236</v>
      </c>
      <c r="D10" s="6" t="s">
        <v>748</v>
      </c>
    </row>
    <row r="11">
      <c r="A11" s="6" t="s">
        <v>749</v>
      </c>
      <c r="B11" s="64">
        <v>6.0</v>
      </c>
      <c r="C11" s="6" t="s">
        <v>750</v>
      </c>
      <c r="D11" s="6" t="s">
        <v>751</v>
      </c>
    </row>
    <row r="12">
      <c r="A12" s="6" t="s">
        <v>752</v>
      </c>
      <c r="B12" s="65"/>
      <c r="C12" s="6" t="s">
        <v>753</v>
      </c>
      <c r="D12" s="6" t="s">
        <v>754</v>
      </c>
    </row>
    <row r="13">
      <c r="A13" s="6" t="s">
        <v>755</v>
      </c>
      <c r="B13" s="64">
        <v>1.0</v>
      </c>
      <c r="C13" s="6" t="s">
        <v>236</v>
      </c>
      <c r="D13" s="6" t="s">
        <v>756</v>
      </c>
    </row>
    <row r="14">
      <c r="A14" s="6" t="s">
        <v>757</v>
      </c>
      <c r="B14" s="66" t="s">
        <v>133</v>
      </c>
      <c r="C14" s="6" t="s">
        <v>758</v>
      </c>
      <c r="D14" s="6" t="s">
        <v>759</v>
      </c>
    </row>
    <row r="15">
      <c r="A15" s="6" t="s">
        <v>760</v>
      </c>
      <c r="B15" s="66" t="s">
        <v>133</v>
      </c>
      <c r="C15" s="6" t="s">
        <v>758</v>
      </c>
      <c r="D15" s="6" t="s">
        <v>534</v>
      </c>
    </row>
    <row r="18" ht="36.0" customHeight="1">
      <c r="A18" s="4" t="s">
        <v>96</v>
      </c>
      <c r="B18" s="4" t="s">
        <v>100</v>
      </c>
      <c r="C18" s="4" t="s">
        <v>103</v>
      </c>
      <c r="D18" s="4" t="s">
        <v>761</v>
      </c>
    </row>
    <row r="19">
      <c r="A19" s="6" t="s">
        <v>123</v>
      </c>
      <c r="B19" s="6" t="s">
        <v>124</v>
      </c>
      <c r="C19" s="6" t="s">
        <v>125</v>
      </c>
      <c r="D19" s="19">
        <f t="shared" ref="D19:D28" si="1">IF(C19="Kecil",$B$6,$B$7)</f>
        <v>8000</v>
      </c>
    </row>
    <row r="20">
      <c r="A20" s="6" t="s">
        <v>165</v>
      </c>
      <c r="B20" s="6" t="s">
        <v>168</v>
      </c>
      <c r="C20" s="6" t="s">
        <v>125</v>
      </c>
      <c r="D20" s="19">
        <f t="shared" si="1"/>
        <v>8000</v>
      </c>
    </row>
    <row r="21" ht="15.75" customHeight="1">
      <c r="A21" s="6" t="s">
        <v>192</v>
      </c>
      <c r="B21" s="6" t="s">
        <v>194</v>
      </c>
      <c r="C21" s="6" t="s">
        <v>195</v>
      </c>
      <c r="D21" s="19">
        <f t="shared" si="1"/>
        <v>10000</v>
      </c>
    </row>
    <row r="22" ht="15.75" customHeight="1">
      <c r="A22" s="6" t="s">
        <v>207</v>
      </c>
      <c r="B22" s="6" t="s">
        <v>208</v>
      </c>
      <c r="C22" s="6" t="s">
        <v>195</v>
      </c>
      <c r="D22" s="19">
        <f t="shared" si="1"/>
        <v>10000</v>
      </c>
    </row>
    <row r="23" ht="15.75" customHeight="1">
      <c r="A23" s="6" t="s">
        <v>220</v>
      </c>
      <c r="B23" s="6" t="s">
        <v>221</v>
      </c>
      <c r="C23" s="6" t="s">
        <v>195</v>
      </c>
      <c r="D23" s="19">
        <f t="shared" si="1"/>
        <v>10000</v>
      </c>
    </row>
    <row r="24" ht="15.75" customHeight="1">
      <c r="A24" s="6" t="s">
        <v>227</v>
      </c>
      <c r="B24" s="6" t="s">
        <v>229</v>
      </c>
      <c r="C24" s="6" t="s">
        <v>195</v>
      </c>
      <c r="D24" s="19">
        <f t="shared" si="1"/>
        <v>10000</v>
      </c>
    </row>
    <row r="25" ht="15.75" customHeight="1">
      <c r="A25" s="6" t="s">
        <v>237</v>
      </c>
      <c r="B25" s="6" t="s">
        <v>238</v>
      </c>
      <c r="C25" s="6" t="s">
        <v>195</v>
      </c>
      <c r="D25" s="19">
        <f t="shared" si="1"/>
        <v>10000</v>
      </c>
    </row>
    <row r="26" ht="15.75" customHeight="1">
      <c r="A26" s="6" t="s">
        <v>244</v>
      </c>
      <c r="B26" s="6" t="s">
        <v>245</v>
      </c>
      <c r="C26" s="6" t="s">
        <v>195</v>
      </c>
      <c r="D26" s="19">
        <f t="shared" si="1"/>
        <v>10000</v>
      </c>
    </row>
    <row r="27" ht="15.75" customHeight="1">
      <c r="A27" s="6" t="s">
        <v>251</v>
      </c>
      <c r="B27" s="6" t="s">
        <v>252</v>
      </c>
      <c r="C27" s="6" t="s">
        <v>125</v>
      </c>
      <c r="D27" s="19">
        <f t="shared" si="1"/>
        <v>8000</v>
      </c>
    </row>
    <row r="28" ht="15.75" customHeight="1">
      <c r="A28" s="6" t="s">
        <v>260</v>
      </c>
      <c r="B28" s="6" t="s">
        <v>261</v>
      </c>
      <c r="C28" s="6" t="s">
        <v>195</v>
      </c>
      <c r="D28" s="19">
        <f t="shared" si="1"/>
        <v>10000</v>
      </c>
    </row>
    <row r="29" ht="15.75" customHeight="1"/>
    <row r="30" ht="15.75" customHeight="1">
      <c r="A30" s="2" t="s">
        <v>762</v>
      </c>
    </row>
    <row r="31" ht="15.75" customHeight="1"/>
    <row r="32" ht="15.75" customHeight="1"/>
    <row r="33" ht="36.0" customHeight="1">
      <c r="A33" s="4" t="s">
        <v>107</v>
      </c>
      <c r="B33" s="4" t="s">
        <v>763</v>
      </c>
    </row>
    <row r="34" ht="15.75" customHeight="1">
      <c r="A34" s="6" t="s">
        <v>110</v>
      </c>
      <c r="B34" s="6" t="s">
        <v>133</v>
      </c>
    </row>
    <row r="35" ht="15.75" customHeight="1">
      <c r="A35" s="6" t="s">
        <v>764</v>
      </c>
      <c r="B35" s="6" t="s">
        <v>418</v>
      </c>
    </row>
    <row r="36" ht="15.75" customHeight="1">
      <c r="A36" s="6" t="s">
        <v>765</v>
      </c>
      <c r="B36" s="6" t="s">
        <v>418</v>
      </c>
    </row>
    <row r="37" ht="15.75" customHeight="1">
      <c r="A37" s="6" t="s">
        <v>766</v>
      </c>
      <c r="B37" s="6" t="s">
        <v>418</v>
      </c>
    </row>
    <row r="38" ht="15.75" customHeight="1">
      <c r="A38" s="6" t="s">
        <v>767</v>
      </c>
      <c r="B38" s="6" t="s">
        <v>418</v>
      </c>
    </row>
    <row r="39" ht="15.75" customHeight="1">
      <c r="A39" s="6" t="s">
        <v>768</v>
      </c>
      <c r="B39" s="6" t="s">
        <v>418</v>
      </c>
    </row>
    <row r="40" ht="15.75" customHeight="1"/>
    <row r="41" ht="15.75" customHeight="1"/>
    <row r="42" ht="36.0" customHeight="1">
      <c r="A42" s="4" t="s">
        <v>769</v>
      </c>
    </row>
    <row r="43" ht="15.75" customHeight="1">
      <c r="A43" s="6" t="s">
        <v>130</v>
      </c>
    </row>
    <row r="44" ht="15.75" customHeight="1">
      <c r="A44" s="6" t="s">
        <v>147</v>
      </c>
    </row>
    <row r="45" ht="15.75" customHeight="1">
      <c r="A45" s="6" t="s">
        <v>160</v>
      </c>
    </row>
    <row r="46" ht="15.75" customHeight="1">
      <c r="A46" s="6" t="s">
        <v>183</v>
      </c>
    </row>
    <row r="47" ht="15.75" customHeight="1">
      <c r="A47" s="6" t="s">
        <v>212</v>
      </c>
    </row>
    <row r="48" ht="15.75" customHeight="1">
      <c r="A48" s="6" t="s">
        <v>770</v>
      </c>
    </row>
    <row r="49" ht="15.75" customHeight="1">
      <c r="A49" s="6" t="s">
        <v>223</v>
      </c>
    </row>
    <row r="50" ht="15.75" customHeight="1">
      <c r="A50" s="6" t="s">
        <v>771</v>
      </c>
    </row>
    <row r="51" ht="15.75" customHeight="1"/>
    <row r="52" ht="15.75" customHeight="1"/>
    <row r="53" ht="36.0" customHeight="1">
      <c r="A53" s="4" t="s">
        <v>772</v>
      </c>
    </row>
    <row r="54" ht="15.75" customHeight="1">
      <c r="A54" s="6" t="s">
        <v>174</v>
      </c>
    </row>
    <row r="55" ht="15.75" customHeight="1">
      <c r="A55" s="6" t="s">
        <v>253</v>
      </c>
    </row>
    <row r="56" ht="15.75" customHeight="1">
      <c r="A56" s="6" t="s">
        <v>128</v>
      </c>
    </row>
    <row r="57" ht="15.75" customHeight="1">
      <c r="A57" s="6" t="s">
        <v>773</v>
      </c>
    </row>
    <row r="58" ht="15.75" customHeight="1">
      <c r="A58" s="6" t="s">
        <v>774</v>
      </c>
    </row>
    <row r="59" ht="15.75" customHeight="1">
      <c r="A59" s="6" t="s">
        <v>775</v>
      </c>
    </row>
    <row r="60" ht="15.75" customHeight="1">
      <c r="A60" s="6" t="s">
        <v>771</v>
      </c>
    </row>
    <row r="61" ht="15.75" customHeight="1"/>
    <row r="62" ht="15.75" customHeight="1"/>
    <row r="63" ht="36.0" customHeight="1">
      <c r="A63" s="4" t="s">
        <v>24</v>
      </c>
      <c r="B63" s="4" t="s">
        <v>22</v>
      </c>
      <c r="C63" s="4" t="s">
        <v>776</v>
      </c>
      <c r="D63" s="4" t="s">
        <v>777</v>
      </c>
    </row>
    <row r="64" ht="15.75" customHeight="1">
      <c r="A64" s="44" t="s">
        <v>26</v>
      </c>
      <c r="B64" s="44" t="s">
        <v>23</v>
      </c>
      <c r="C64" s="67">
        <v>1.05</v>
      </c>
      <c r="D64" s="44" t="s">
        <v>778</v>
      </c>
    </row>
    <row r="65" ht="15.75" customHeight="1">
      <c r="A65" s="44" t="s">
        <v>26</v>
      </c>
      <c r="B65" s="44" t="s">
        <v>779</v>
      </c>
      <c r="C65" s="67">
        <v>1.0</v>
      </c>
      <c r="D65" s="44" t="s">
        <v>780</v>
      </c>
    </row>
    <row r="66" ht="15.75" customHeight="1">
      <c r="A66" s="44" t="s">
        <v>781</v>
      </c>
      <c r="B66" s="44" t="s">
        <v>782</v>
      </c>
      <c r="C66" s="67">
        <v>1.45</v>
      </c>
      <c r="D66" s="44" t="s">
        <v>780</v>
      </c>
    </row>
    <row r="67" ht="15.75" customHeight="1">
      <c r="A67" s="44"/>
      <c r="B67" s="44"/>
      <c r="C67" s="67"/>
      <c r="D67" s="44"/>
    </row>
    <row r="68" ht="15.75" customHeight="1">
      <c r="A68" s="44"/>
      <c r="B68" s="44"/>
      <c r="C68" s="67"/>
      <c r="D68" s="44"/>
    </row>
    <row r="69" ht="15.75" customHeight="1">
      <c r="A69" s="44"/>
      <c r="B69" s="44"/>
      <c r="C69" s="67"/>
      <c r="D69" s="44"/>
    </row>
    <row r="70" ht="15.75" customHeight="1">
      <c r="A70" s="44"/>
      <c r="B70" s="44"/>
      <c r="C70" s="67"/>
      <c r="D70" s="44"/>
    </row>
    <row r="71" ht="15.75" customHeight="1">
      <c r="A71" s="44"/>
      <c r="B71" s="44"/>
      <c r="C71" s="67"/>
      <c r="D71" s="44"/>
    </row>
    <row r="72" ht="15.75" customHeight="1">
      <c r="A72" s="44"/>
      <c r="B72" s="44"/>
      <c r="C72" s="67"/>
      <c r="D72" s="44"/>
    </row>
    <row r="73" ht="15.75" customHeight="1">
      <c r="A73" s="44"/>
      <c r="B73" s="44"/>
      <c r="C73" s="67"/>
      <c r="D73" s="44"/>
    </row>
    <row r="74" ht="15.75" customHeight="1">
      <c r="A74" s="44"/>
      <c r="B74" s="44"/>
      <c r="C74" s="67"/>
      <c r="D74" s="44"/>
    </row>
    <row r="75" ht="15.75" customHeight="1">
      <c r="A75" s="44"/>
      <c r="B75" s="44"/>
      <c r="C75" s="67"/>
      <c r="D75" s="44"/>
    </row>
    <row r="76" ht="15.75" customHeight="1">
      <c r="A76" s="44"/>
      <c r="B76" s="44"/>
      <c r="C76" s="67"/>
      <c r="D76" s="44"/>
    </row>
    <row r="77" ht="15.75" customHeight="1">
      <c r="A77" s="44"/>
      <c r="B77" s="44"/>
      <c r="C77" s="67"/>
      <c r="D77" s="44"/>
    </row>
    <row r="78" ht="15.75" customHeight="1">
      <c r="A78" s="44"/>
      <c r="B78" s="44"/>
      <c r="C78" s="67"/>
      <c r="D78" s="44"/>
    </row>
    <row r="79" ht="15.75" customHeight="1">
      <c r="A79" s="44"/>
      <c r="B79" s="44"/>
      <c r="C79" s="67"/>
      <c r="D79" s="44"/>
    </row>
    <row r="80" ht="15.75" customHeight="1">
      <c r="A80" s="44"/>
      <c r="B80" s="44"/>
      <c r="C80" s="67"/>
      <c r="D80" s="44"/>
    </row>
    <row r="81" ht="15.75" customHeight="1">
      <c r="A81" s="44"/>
      <c r="B81" s="44"/>
      <c r="C81" s="67"/>
      <c r="D81" s="44"/>
    </row>
    <row r="82" ht="15.75" customHeight="1">
      <c r="A82" s="44"/>
      <c r="B82" s="44"/>
      <c r="C82" s="67"/>
      <c r="D82" s="44"/>
    </row>
    <row r="83" ht="15.75" customHeight="1">
      <c r="A83" s="44"/>
      <c r="B83" s="44"/>
      <c r="C83" s="67"/>
      <c r="D83" s="44"/>
    </row>
    <row r="84" ht="15.75" customHeight="1">
      <c r="A84" s="44"/>
      <c r="B84" s="44"/>
      <c r="C84" s="67"/>
      <c r="D84" s="44"/>
    </row>
    <row r="85" ht="15.75" customHeight="1">
      <c r="A85" s="44"/>
      <c r="B85" s="44"/>
      <c r="C85" s="67"/>
      <c r="D85" s="44"/>
    </row>
    <row r="86" ht="15.75" customHeight="1">
      <c r="A86" s="44"/>
      <c r="B86" s="44"/>
      <c r="C86" s="67"/>
      <c r="D86" s="44"/>
    </row>
    <row r="87" ht="15.75" customHeight="1">
      <c r="A87" s="44"/>
      <c r="B87" s="44"/>
      <c r="C87" s="67"/>
      <c r="D87" s="44"/>
    </row>
    <row r="88" ht="15.75" customHeight="1">
      <c r="A88" s="44"/>
      <c r="B88" s="44"/>
      <c r="C88" s="67"/>
      <c r="D88" s="44"/>
    </row>
    <row r="89" ht="15.75" customHeight="1">
      <c r="A89" s="44"/>
      <c r="B89" s="44"/>
      <c r="C89" s="67"/>
      <c r="D89" s="44"/>
    </row>
    <row r="90" ht="15.75" customHeight="1">
      <c r="A90" s="44"/>
      <c r="B90" s="44"/>
      <c r="C90" s="67"/>
      <c r="D90" s="44"/>
    </row>
    <row r="91" ht="15.75" customHeight="1">
      <c r="A91" s="44"/>
      <c r="B91" s="44"/>
      <c r="C91" s="67"/>
      <c r="D91" s="44"/>
    </row>
    <row r="92" ht="15.75" customHeight="1">
      <c r="A92" s="44"/>
      <c r="B92" s="44"/>
      <c r="C92" s="67"/>
      <c r="D92" s="44"/>
    </row>
    <row r="93" ht="15.75" customHeight="1">
      <c r="A93" s="44"/>
      <c r="B93" s="44"/>
      <c r="C93" s="67"/>
      <c r="D93" s="44"/>
    </row>
    <row r="94" ht="15.75" customHeight="1">
      <c r="A94" s="44"/>
      <c r="B94" s="44"/>
      <c r="C94" s="67"/>
      <c r="D94" s="44"/>
    </row>
    <row r="95" ht="15.75" customHeight="1">
      <c r="A95" s="44"/>
      <c r="B95" s="44"/>
      <c r="C95" s="67"/>
      <c r="D95" s="44"/>
    </row>
    <row r="96" ht="15.75" customHeight="1">
      <c r="A96" s="44"/>
      <c r="B96" s="44"/>
      <c r="C96" s="67"/>
      <c r="D96" s="44"/>
    </row>
    <row r="97" ht="15.75" customHeight="1">
      <c r="A97" s="44"/>
      <c r="B97" s="44"/>
      <c r="C97" s="67"/>
      <c r="D97" s="44"/>
    </row>
    <row r="98" ht="15.75" customHeight="1">
      <c r="A98" s="44"/>
      <c r="B98" s="44"/>
      <c r="C98" s="67"/>
      <c r="D98" s="44"/>
    </row>
    <row r="99" ht="15.75" customHeight="1">
      <c r="A99" s="44"/>
      <c r="B99" s="44"/>
      <c r="C99" s="67"/>
      <c r="D99" s="44"/>
    </row>
    <row r="100" ht="15.75" customHeight="1">
      <c r="A100" s="44"/>
      <c r="B100" s="44"/>
      <c r="C100" s="67"/>
      <c r="D100" s="44"/>
    </row>
    <row r="101" ht="15.75" customHeight="1">
      <c r="A101" s="44"/>
      <c r="B101" s="44"/>
      <c r="C101" s="67"/>
      <c r="D101" s="44"/>
    </row>
    <row r="102" ht="15.75" customHeight="1">
      <c r="A102" s="44"/>
      <c r="B102" s="44"/>
      <c r="C102" s="67"/>
      <c r="D102" s="44"/>
    </row>
    <row r="103" ht="15.75" customHeight="1">
      <c r="A103" s="44"/>
      <c r="B103" s="44"/>
      <c r="C103" s="67"/>
      <c r="D103" s="44"/>
    </row>
    <row r="104" ht="15.75" customHeight="1">
      <c r="A104" s="44"/>
      <c r="B104" s="44"/>
      <c r="C104" s="67"/>
      <c r="D104" s="44"/>
    </row>
    <row r="105" ht="15.75" customHeight="1">
      <c r="A105" s="44"/>
      <c r="B105" s="44"/>
      <c r="C105" s="67"/>
      <c r="D105" s="44"/>
    </row>
    <row r="106" ht="15.75" customHeight="1">
      <c r="A106" s="44"/>
      <c r="B106" s="44"/>
      <c r="C106" s="67"/>
      <c r="D106" s="44"/>
    </row>
    <row r="107" ht="15.75" customHeight="1">
      <c r="A107" s="44"/>
      <c r="B107" s="44"/>
      <c r="C107" s="67"/>
      <c r="D107" s="44"/>
    </row>
    <row r="108" ht="15.75" customHeight="1">
      <c r="A108" s="44"/>
      <c r="B108" s="44"/>
      <c r="C108" s="67"/>
      <c r="D108" s="44"/>
    </row>
    <row r="109" ht="15.75" customHeight="1">
      <c r="A109" s="44"/>
      <c r="B109" s="44"/>
      <c r="C109" s="67"/>
      <c r="D109" s="44"/>
    </row>
    <row r="110" ht="15.75" customHeight="1">
      <c r="A110" s="44"/>
      <c r="B110" s="44"/>
      <c r="C110" s="67"/>
      <c r="D110" s="44"/>
    </row>
    <row r="111" ht="15.75" customHeight="1">
      <c r="A111" s="44"/>
      <c r="B111" s="44"/>
      <c r="C111" s="67"/>
      <c r="D111" s="44"/>
    </row>
    <row r="112" ht="15.75" customHeight="1">
      <c r="A112" s="44"/>
      <c r="B112" s="44"/>
      <c r="C112" s="67"/>
      <c r="D112" s="44"/>
    </row>
    <row r="113" ht="15.75" customHeight="1">
      <c r="A113" s="44"/>
      <c r="B113" s="44"/>
      <c r="C113" s="67"/>
      <c r="D113" s="44"/>
    </row>
    <row r="114" ht="15.75" customHeight="1">
      <c r="A114" s="44"/>
      <c r="B114" s="44"/>
      <c r="C114" s="67"/>
      <c r="D114" s="44"/>
    </row>
    <row r="115" ht="15.75" customHeight="1">
      <c r="A115" s="44"/>
      <c r="B115" s="44"/>
      <c r="C115" s="67"/>
      <c r="D115" s="44"/>
    </row>
    <row r="116" ht="15.75" customHeight="1">
      <c r="A116" s="44"/>
      <c r="B116" s="44"/>
      <c r="C116" s="67"/>
      <c r="D116" s="44"/>
    </row>
    <row r="117" ht="15.75" customHeight="1">
      <c r="A117" s="44"/>
      <c r="B117" s="44"/>
      <c r="C117" s="67"/>
      <c r="D117" s="44"/>
    </row>
    <row r="118" ht="15.75" customHeight="1">
      <c r="A118" s="44"/>
      <c r="B118" s="44"/>
      <c r="C118" s="67"/>
      <c r="D118" s="44"/>
    </row>
    <row r="119" ht="15.75" customHeight="1">
      <c r="A119" s="44"/>
      <c r="B119" s="44"/>
      <c r="C119" s="67"/>
      <c r="D119" s="44"/>
    </row>
    <row r="120" ht="15.75" customHeight="1">
      <c r="A120" s="44"/>
      <c r="B120" s="44"/>
      <c r="C120" s="67"/>
      <c r="D120" s="44"/>
    </row>
    <row r="121" ht="15.75" customHeight="1">
      <c r="A121" s="44"/>
      <c r="B121" s="44"/>
      <c r="C121" s="67"/>
      <c r="D121" s="44"/>
    </row>
    <row r="122" ht="15.75" customHeight="1">
      <c r="A122" s="44"/>
      <c r="B122" s="44"/>
      <c r="C122" s="67"/>
      <c r="D122" s="44"/>
    </row>
    <row r="123" ht="15.75" customHeight="1">
      <c r="A123" s="44"/>
      <c r="B123" s="44"/>
      <c r="C123" s="67"/>
      <c r="D123" s="44"/>
    </row>
    <row r="124" ht="15.75" customHeight="1">
      <c r="A124" s="44"/>
      <c r="B124" s="44"/>
      <c r="C124" s="67"/>
      <c r="D124" s="44"/>
    </row>
    <row r="125" ht="15.75" customHeight="1">
      <c r="A125" s="44"/>
      <c r="B125" s="44"/>
      <c r="C125" s="67"/>
      <c r="D125" s="44"/>
    </row>
    <row r="126" ht="15.75" customHeight="1">
      <c r="A126" s="44"/>
      <c r="B126" s="44"/>
      <c r="C126" s="67"/>
      <c r="D126" s="44"/>
    </row>
    <row r="127" ht="15.75" customHeight="1">
      <c r="A127" s="44"/>
      <c r="B127" s="44"/>
      <c r="C127" s="67"/>
      <c r="D127" s="44"/>
    </row>
    <row r="128" ht="15.75" customHeight="1">
      <c r="A128" s="44"/>
      <c r="B128" s="44"/>
      <c r="C128" s="67"/>
      <c r="D128" s="44"/>
    </row>
    <row r="129" ht="15.75" customHeight="1">
      <c r="A129" s="44"/>
      <c r="B129" s="44"/>
      <c r="C129" s="67"/>
      <c r="D129" s="44"/>
    </row>
    <row r="130" ht="15.75" customHeight="1">
      <c r="A130" s="44"/>
      <c r="B130" s="44"/>
      <c r="C130" s="67"/>
      <c r="D130" s="44"/>
    </row>
    <row r="131" ht="15.75" customHeight="1">
      <c r="A131" s="44"/>
      <c r="B131" s="44"/>
      <c r="C131" s="67"/>
      <c r="D131" s="44"/>
    </row>
    <row r="132" ht="15.75" customHeight="1">
      <c r="A132" s="44"/>
      <c r="B132" s="44"/>
      <c r="C132" s="67"/>
      <c r="D132" s="44"/>
    </row>
    <row r="133" ht="15.75" customHeight="1">
      <c r="A133" s="44"/>
      <c r="B133" s="44"/>
      <c r="C133" s="67"/>
      <c r="D133" s="44"/>
    </row>
    <row r="134" ht="15.75" customHeight="1">
      <c r="A134" s="44"/>
      <c r="B134" s="44"/>
      <c r="C134" s="67"/>
      <c r="D134" s="44"/>
    </row>
    <row r="135" ht="15.75" customHeight="1">
      <c r="A135" s="44"/>
      <c r="B135" s="44"/>
      <c r="C135" s="67"/>
      <c r="D135" s="44"/>
    </row>
    <row r="136" ht="15.75" customHeight="1">
      <c r="A136" s="44"/>
      <c r="B136" s="44"/>
      <c r="C136" s="67"/>
      <c r="D136" s="44"/>
    </row>
    <row r="137" ht="15.75" customHeight="1">
      <c r="A137" s="44"/>
      <c r="B137" s="44"/>
      <c r="C137" s="67"/>
      <c r="D137" s="44"/>
    </row>
    <row r="138" ht="15.75" customHeight="1">
      <c r="A138" s="44"/>
      <c r="B138" s="44"/>
      <c r="C138" s="67"/>
      <c r="D138" s="44"/>
    </row>
    <row r="139" ht="15.75" customHeight="1">
      <c r="A139" s="44"/>
      <c r="B139" s="44"/>
      <c r="C139" s="67"/>
      <c r="D139" s="44"/>
    </row>
    <row r="140" ht="15.75" customHeight="1">
      <c r="A140" s="44"/>
      <c r="B140" s="44"/>
      <c r="C140" s="67"/>
      <c r="D140" s="44"/>
    </row>
    <row r="141" ht="15.75" customHeight="1">
      <c r="A141" s="44"/>
      <c r="B141" s="44"/>
      <c r="C141" s="67"/>
      <c r="D141" s="44"/>
    </row>
    <row r="142" ht="15.75" customHeight="1">
      <c r="A142" s="44"/>
      <c r="B142" s="44"/>
      <c r="C142" s="67"/>
      <c r="D142" s="44"/>
    </row>
    <row r="143" ht="15.75" customHeight="1">
      <c r="A143" s="44"/>
      <c r="B143" s="44"/>
      <c r="C143" s="67"/>
      <c r="D143" s="44"/>
    </row>
    <row r="144" ht="15.75" customHeight="1">
      <c r="A144" s="44"/>
      <c r="B144" s="44"/>
      <c r="C144" s="67"/>
      <c r="D144" s="44"/>
    </row>
    <row r="145" ht="15.75" customHeight="1">
      <c r="A145" s="44"/>
      <c r="B145" s="44"/>
      <c r="C145" s="67"/>
      <c r="D145" s="44"/>
    </row>
    <row r="146" ht="15.75" customHeight="1">
      <c r="A146" s="44"/>
      <c r="B146" s="44"/>
      <c r="C146" s="67"/>
      <c r="D146" s="44"/>
    </row>
    <row r="147" ht="15.75" customHeight="1">
      <c r="A147" s="44"/>
      <c r="B147" s="44"/>
      <c r="C147" s="67"/>
      <c r="D147" s="44"/>
    </row>
    <row r="148" ht="15.75" customHeight="1">
      <c r="A148" s="44"/>
      <c r="B148" s="44"/>
      <c r="C148" s="67"/>
      <c r="D148" s="44"/>
    </row>
    <row r="149" ht="15.75" customHeight="1">
      <c r="A149" s="44"/>
      <c r="B149" s="44"/>
      <c r="C149" s="67"/>
      <c r="D149" s="44"/>
    </row>
    <row r="150" ht="15.75" customHeight="1">
      <c r="A150" s="44"/>
      <c r="B150" s="44"/>
      <c r="C150" s="67"/>
      <c r="D150" s="44"/>
    </row>
    <row r="151" ht="15.75" customHeight="1">
      <c r="A151" s="44"/>
      <c r="B151" s="44"/>
      <c r="C151" s="67"/>
      <c r="D151" s="44"/>
    </row>
    <row r="152" ht="15.75" customHeight="1">
      <c r="A152" s="44"/>
      <c r="B152" s="44"/>
      <c r="C152" s="67"/>
      <c r="D152" s="44"/>
    </row>
    <row r="153" ht="15.75" customHeight="1">
      <c r="A153" s="44"/>
      <c r="B153" s="44"/>
      <c r="C153" s="67"/>
      <c r="D153" s="44"/>
    </row>
    <row r="154" ht="15.75" customHeight="1">
      <c r="A154" s="44"/>
      <c r="B154" s="44"/>
      <c r="C154" s="67"/>
      <c r="D154" s="44"/>
    </row>
    <row r="155" ht="15.75" customHeight="1">
      <c r="A155" s="44"/>
      <c r="B155" s="44"/>
      <c r="C155" s="67"/>
      <c r="D155" s="44"/>
    </row>
    <row r="156" ht="15.75" customHeight="1">
      <c r="A156" s="44"/>
      <c r="B156" s="44"/>
      <c r="C156" s="67"/>
      <c r="D156" s="44"/>
    </row>
    <row r="157" ht="15.75" customHeight="1">
      <c r="A157" s="44"/>
      <c r="B157" s="44"/>
      <c r="C157" s="67"/>
      <c r="D157" s="44"/>
    </row>
    <row r="158" ht="15.75" customHeight="1">
      <c r="A158" s="44"/>
      <c r="B158" s="44"/>
      <c r="C158" s="67"/>
      <c r="D158" s="44"/>
    </row>
    <row r="159" ht="15.75" customHeight="1">
      <c r="A159" s="44"/>
      <c r="B159" s="44"/>
      <c r="C159" s="67"/>
      <c r="D159" s="44"/>
    </row>
    <row r="160" ht="15.75" customHeight="1">
      <c r="A160" s="44"/>
      <c r="B160" s="44"/>
      <c r="C160" s="67"/>
      <c r="D160" s="44"/>
    </row>
    <row r="161" ht="15.75" customHeight="1">
      <c r="A161" s="44"/>
      <c r="B161" s="44"/>
      <c r="C161" s="67"/>
      <c r="D161" s="44"/>
    </row>
    <row r="162" ht="15.75" customHeight="1">
      <c r="A162" s="44"/>
      <c r="B162" s="44"/>
      <c r="C162" s="67"/>
      <c r="D162" s="44"/>
    </row>
    <row r="163" ht="15.75" customHeight="1">
      <c r="A163" s="44"/>
      <c r="B163" s="44"/>
      <c r="C163" s="67"/>
      <c r="D163" s="44"/>
    </row>
    <row r="164" ht="15.75" customHeight="1">
      <c r="A164" s="44"/>
      <c r="B164" s="44"/>
      <c r="C164" s="67"/>
      <c r="D164" s="44"/>
    </row>
    <row r="165" ht="15.75" customHeight="1">
      <c r="A165" s="44"/>
      <c r="B165" s="44"/>
      <c r="C165" s="67"/>
      <c r="D165" s="44"/>
    </row>
    <row r="166" ht="15.75" customHeight="1">
      <c r="A166" s="44"/>
      <c r="B166" s="44"/>
      <c r="C166" s="67"/>
      <c r="D166" s="44"/>
    </row>
    <row r="167" ht="15.75" customHeight="1">
      <c r="A167" s="44"/>
      <c r="B167" s="44"/>
      <c r="C167" s="67"/>
      <c r="D167" s="44"/>
    </row>
    <row r="168" ht="15.75" customHeight="1">
      <c r="A168" s="44"/>
      <c r="B168" s="44"/>
      <c r="C168" s="67"/>
      <c r="D168" s="44"/>
    </row>
    <row r="169" ht="15.75" customHeight="1">
      <c r="A169" s="44"/>
      <c r="B169" s="44"/>
      <c r="C169" s="67"/>
      <c r="D169" s="44"/>
    </row>
    <row r="170" ht="15.75" customHeight="1">
      <c r="A170" s="44"/>
      <c r="B170" s="44"/>
      <c r="C170" s="67"/>
      <c r="D170" s="44"/>
    </row>
    <row r="171" ht="15.75" customHeight="1">
      <c r="A171" s="44"/>
      <c r="B171" s="44"/>
      <c r="C171" s="67"/>
      <c r="D171" s="44"/>
    </row>
    <row r="172" ht="15.75" customHeight="1">
      <c r="A172" s="44"/>
      <c r="B172" s="44"/>
      <c r="C172" s="67"/>
      <c r="D172" s="44"/>
    </row>
    <row r="173" ht="15.75" customHeight="1">
      <c r="A173" s="44"/>
      <c r="B173" s="44"/>
      <c r="C173" s="67"/>
      <c r="D173" s="44"/>
    </row>
    <row r="174" ht="15.75" customHeight="1">
      <c r="A174" s="44"/>
      <c r="B174" s="44"/>
      <c r="C174" s="67"/>
      <c r="D174" s="44"/>
    </row>
    <row r="175" ht="15.75" customHeight="1">
      <c r="A175" s="44"/>
      <c r="B175" s="44"/>
      <c r="C175" s="67"/>
      <c r="D175" s="44"/>
    </row>
    <row r="176" ht="15.75" customHeight="1">
      <c r="A176" s="44"/>
      <c r="B176" s="44"/>
      <c r="C176" s="67"/>
      <c r="D176" s="44"/>
    </row>
    <row r="177" ht="15.75" customHeight="1">
      <c r="A177" s="44"/>
      <c r="B177" s="44"/>
      <c r="C177" s="67"/>
      <c r="D177" s="44"/>
    </row>
    <row r="178" ht="15.75" customHeight="1">
      <c r="A178" s="44"/>
      <c r="B178" s="44"/>
      <c r="C178" s="67"/>
      <c r="D178" s="44"/>
    </row>
    <row r="179" ht="15.75" customHeight="1">
      <c r="A179" s="44"/>
      <c r="B179" s="44"/>
      <c r="C179" s="67"/>
      <c r="D179" s="44"/>
    </row>
    <row r="180" ht="15.75" customHeight="1">
      <c r="A180" s="44"/>
      <c r="B180" s="44"/>
      <c r="C180" s="67"/>
      <c r="D180" s="44"/>
    </row>
    <row r="181" ht="15.75" customHeight="1">
      <c r="A181" s="44"/>
      <c r="B181" s="44"/>
      <c r="C181" s="67"/>
      <c r="D181" s="44"/>
    </row>
    <row r="182" ht="15.75" customHeight="1">
      <c r="A182" s="44"/>
      <c r="B182" s="44"/>
      <c r="C182" s="67"/>
      <c r="D182" s="44"/>
    </row>
    <row r="183" ht="15.75" customHeight="1">
      <c r="A183" s="44"/>
      <c r="B183" s="44"/>
      <c r="C183" s="67"/>
      <c r="D183" s="44"/>
    </row>
    <row r="184" ht="15.75" customHeight="1">
      <c r="A184" s="44"/>
      <c r="B184" s="44"/>
      <c r="C184" s="67"/>
      <c r="D184" s="44"/>
    </row>
    <row r="185" ht="15.75" customHeight="1">
      <c r="A185" s="44"/>
      <c r="B185" s="44"/>
      <c r="C185" s="67"/>
      <c r="D185" s="44"/>
    </row>
    <row r="186" ht="15.75" customHeight="1">
      <c r="A186" s="44"/>
      <c r="B186" s="44"/>
      <c r="C186" s="67"/>
      <c r="D186" s="44"/>
    </row>
    <row r="187" ht="15.75" customHeight="1">
      <c r="A187" s="44"/>
      <c r="B187" s="44"/>
      <c r="C187" s="67"/>
      <c r="D187" s="44"/>
    </row>
    <row r="188" ht="15.75" customHeight="1">
      <c r="A188" s="44"/>
      <c r="B188" s="44"/>
      <c r="C188" s="67"/>
      <c r="D188" s="44"/>
    </row>
    <row r="189" ht="15.75" customHeight="1">
      <c r="A189" s="44"/>
      <c r="B189" s="44"/>
      <c r="C189" s="67"/>
      <c r="D189" s="44"/>
    </row>
    <row r="190" ht="15.75" customHeight="1">
      <c r="A190" s="44"/>
      <c r="B190" s="44"/>
      <c r="C190" s="67"/>
      <c r="D190" s="44"/>
    </row>
    <row r="191" ht="15.75" customHeight="1">
      <c r="A191" s="44"/>
      <c r="B191" s="44"/>
      <c r="C191" s="67"/>
      <c r="D191" s="44"/>
    </row>
    <row r="192" ht="15.75" customHeight="1">
      <c r="A192" s="44"/>
      <c r="B192" s="44"/>
      <c r="C192" s="67"/>
      <c r="D192" s="44"/>
    </row>
    <row r="193" ht="15.75" customHeight="1">
      <c r="A193" s="44"/>
      <c r="B193" s="44"/>
      <c r="C193" s="67"/>
      <c r="D193" s="44"/>
    </row>
    <row r="194" ht="15.75" customHeight="1">
      <c r="A194" s="44"/>
      <c r="B194" s="44"/>
      <c r="C194" s="67"/>
      <c r="D194" s="44"/>
    </row>
    <row r="195" ht="15.75" customHeight="1">
      <c r="A195" s="44"/>
      <c r="B195" s="44"/>
      <c r="C195" s="67"/>
      <c r="D195" s="44"/>
    </row>
    <row r="196" ht="15.75" customHeight="1">
      <c r="A196" s="44"/>
      <c r="B196" s="44"/>
      <c r="C196" s="67"/>
      <c r="D196" s="44"/>
    </row>
    <row r="197" ht="15.75" customHeight="1">
      <c r="A197" s="44"/>
      <c r="B197" s="44"/>
      <c r="C197" s="67"/>
      <c r="D197" s="44"/>
    </row>
    <row r="198" ht="15.75" customHeight="1">
      <c r="A198" s="44"/>
      <c r="B198" s="44"/>
      <c r="C198" s="67"/>
      <c r="D198" s="44"/>
    </row>
    <row r="199" ht="15.75" customHeight="1">
      <c r="A199" s="44"/>
      <c r="B199" s="44"/>
      <c r="C199" s="67"/>
      <c r="D199" s="44"/>
    </row>
    <row r="200" ht="15.75" customHeight="1">
      <c r="A200" s="44"/>
      <c r="B200" s="44"/>
      <c r="C200" s="67"/>
      <c r="D200" s="44"/>
    </row>
    <row r="201" ht="15.75" customHeight="1">
      <c r="A201" s="44"/>
      <c r="B201" s="44"/>
      <c r="C201" s="67"/>
      <c r="D201" s="44"/>
    </row>
    <row r="202" ht="15.75" customHeight="1">
      <c r="A202" s="44"/>
      <c r="B202" s="44"/>
      <c r="C202" s="67"/>
      <c r="D202" s="44"/>
    </row>
    <row r="203" ht="15.75" customHeight="1">
      <c r="A203" s="44"/>
      <c r="B203" s="44"/>
      <c r="C203" s="67"/>
      <c r="D203" s="44"/>
    </row>
    <row r="204" ht="15.75" customHeight="1">
      <c r="A204" s="44"/>
      <c r="B204" s="44"/>
      <c r="C204" s="67"/>
      <c r="D204" s="44"/>
    </row>
    <row r="205" ht="15.75" customHeight="1">
      <c r="A205" s="44"/>
      <c r="B205" s="44"/>
      <c r="C205" s="67"/>
      <c r="D205" s="44"/>
    </row>
    <row r="206" ht="15.75" customHeight="1">
      <c r="A206" s="44"/>
      <c r="B206" s="44"/>
      <c r="C206" s="67"/>
      <c r="D206" s="44"/>
    </row>
    <row r="207" ht="15.75" customHeight="1">
      <c r="A207" s="44"/>
      <c r="B207" s="44"/>
      <c r="C207" s="67"/>
      <c r="D207" s="44"/>
    </row>
    <row r="208" ht="15.75" customHeight="1">
      <c r="A208" s="44"/>
      <c r="B208" s="44"/>
      <c r="C208" s="67"/>
      <c r="D208" s="44"/>
    </row>
    <row r="209" ht="15.75" customHeight="1">
      <c r="A209" s="44"/>
      <c r="B209" s="44"/>
      <c r="C209" s="67"/>
      <c r="D209" s="44"/>
    </row>
    <row r="210" ht="15.75" customHeight="1">
      <c r="A210" s="44"/>
      <c r="B210" s="44"/>
      <c r="C210" s="67"/>
      <c r="D210" s="44"/>
    </row>
    <row r="211" ht="15.75" customHeight="1">
      <c r="A211" s="44"/>
      <c r="B211" s="44"/>
      <c r="C211" s="67"/>
      <c r="D211" s="44"/>
    </row>
    <row r="212" ht="15.75" customHeight="1">
      <c r="A212" s="44"/>
      <c r="B212" s="44"/>
      <c r="C212" s="67"/>
      <c r="D212" s="44"/>
    </row>
    <row r="213" ht="15.75" customHeight="1">
      <c r="A213" s="44"/>
      <c r="B213" s="44"/>
      <c r="C213" s="67"/>
      <c r="D213" s="44"/>
    </row>
    <row r="214" ht="15.75" customHeight="1">
      <c r="A214" s="2" t="s">
        <v>783</v>
      </c>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14:B15">
      <formula1>"Ya,Tidak"</formula1>
    </dataValidation>
  </dataValidations>
  <printOptions/>
  <pageMargins bottom="1.0" footer="0.0" header="0.0" left="0.75" right="0.75" top="1.0"/>
  <pageSetup fitToHeight="0" orientation="landscape"/>
  <drawing r:id="rId1"/>
</worksheet>
</file>